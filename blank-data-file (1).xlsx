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A\Downloads\"/>
    </mc:Choice>
  </mc:AlternateContent>
  <xr:revisionPtr revIDLastSave="0" documentId="13_ncr:1_{0467EF0C-F4EA-4393-B312-DCF067E60371}" xr6:coauthVersionLast="47" xr6:coauthVersionMax="47" xr10:uidLastSave="{00000000-0000-0000-0000-000000000000}"/>
  <bookViews>
    <workbookView xWindow="-120" yWindow="-120" windowWidth="20730" windowHeight="11160" firstSheet="6" activeTab="6" xr2:uid="{26D4546B-D2A1-4444-8EAF-A6228F96F0C1}"/>
  </bookViews>
  <sheets>
    <sheet name="NZ staff" sheetId="1" r:id="rId1"/>
    <sheet name="India Staff" sheetId="2" r:id="rId2"/>
    <sheet name="all Staff" sheetId="3" r:id="rId3"/>
    <sheet name="Salary vs Rating" sheetId="9" r:id="rId4"/>
    <sheet name="Salary vs Rating." sheetId="10" r:id="rId5"/>
    <sheet name="employee trend" sheetId="11" r:id="rId6"/>
    <sheet name="NZ vs India" sheetId="13" r:id="rId7"/>
    <sheet name="salary spread" sheetId="8" r:id="rId8"/>
    <sheet name="male vs female" sheetId="7" r:id="rId9"/>
    <sheet name="info finder" sheetId="4" r:id="rId10"/>
    <sheet name="Card" sheetId="12" r:id="rId11"/>
  </sheets>
  <definedNames>
    <definedName name="_xlnm._FilterDatabase" localSheetId="1" hidden="1">'India Staff'!$B$2:$H$114</definedName>
    <definedName name="_xlnm._FilterDatabase" localSheetId="0" hidden="1">'NZ staff'!$C$5:$I$105</definedName>
    <definedName name="_xlchart.v1.0" hidden="1">'all Staff'!$F$2:$F$185</definedName>
    <definedName name="_xlchart.v1.1" hidden="1">'all Staff'!$F$2:$F$185</definedName>
    <definedName name="_xlchart.v1.2" hidden="1">'all Staff'!$F$2:$F$185</definedName>
    <definedName name="_xlcn.WorksheetConnection_blankdatafile1.xlsxAll_Staff1" hidden="1">All_Staff[]</definedName>
    <definedName name="ExternalData_1" localSheetId="2" hidden="1">'all Staff'!$A$1:$H$185</definedName>
    <definedName name="Slicer_Country">#N/A</definedName>
  </definedNames>
  <calcPr calcId="191029"/>
  <pivotCaches>
    <pivotCache cacheId="244" r:id="rId12"/>
    <pivotCache cacheId="245" r:id="rId13"/>
    <pivotCache cacheId="247" r:id="rId14"/>
    <pivotCache cacheId="263" r:id="rId15"/>
    <pivotCache cacheId="278" r:id="rId16"/>
  </pivotCaches>
  <extLst>
    <ext xmlns:x14="http://schemas.microsoft.com/office/spreadsheetml/2009/9/main" uri="{876F7934-8845-4945-9796-88D515C7AA90}">
      <x14:pivotCaches>
        <pivotCache cacheId="213"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Staff" name="All_Staff" connection="WorksheetConnection_blank-data-file (1).xlsx!All_Staff"/>
        </x15:modelTables>
        <x15:extLst>
          <ext xmlns:x16="http://schemas.microsoft.com/office/spreadsheetml/2014/11/main" uri="{9835A34E-60A6-4A7C-AAB8-D5F71C897F49}">
            <x16:modelTimeGroupings>
              <x16:modelTimeGrouping tableName="All_Staff"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2" l="1"/>
  <c r="F3" i="12"/>
  <c r="K3" i="12"/>
  <c r="D3" i="12"/>
  <c r="I3" i="12"/>
  <c r="B3" i="12"/>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Q18" i="3"/>
  <c r="Q13" i="3"/>
  <c r="Q12" i="3"/>
  <c r="Q9" i="3"/>
  <c r="Q8" i="3"/>
  <c r="Q7" i="3"/>
  <c r="I166" i="3"/>
  <c r="J166" i="3" s="1"/>
  <c r="K166" i="3" s="1"/>
  <c r="L166" i="3" s="1"/>
  <c r="I86" i="3"/>
  <c r="J86" i="3" s="1"/>
  <c r="K86" i="3" s="1"/>
  <c r="L86" i="3" s="1"/>
  <c r="I36" i="3"/>
  <c r="J36" i="3" s="1"/>
  <c r="K36" i="3" s="1"/>
  <c r="L36" i="3" s="1"/>
  <c r="I176" i="3"/>
  <c r="J176" i="3" s="1"/>
  <c r="K176" i="3" s="1"/>
  <c r="L176" i="3" s="1"/>
  <c r="I38" i="3"/>
  <c r="J38" i="3" s="1"/>
  <c r="K38" i="3" s="1"/>
  <c r="L38" i="3" s="1"/>
  <c r="I160" i="3"/>
  <c r="J160" i="3" s="1"/>
  <c r="K160" i="3" s="1"/>
  <c r="L160" i="3" s="1"/>
  <c r="I26" i="3"/>
  <c r="J26" i="3" s="1"/>
  <c r="K26" i="3" s="1"/>
  <c r="L26" i="3" s="1"/>
  <c r="I62" i="3"/>
  <c r="J62" i="3" s="1"/>
  <c r="K62" i="3" s="1"/>
  <c r="L62" i="3" s="1"/>
  <c r="I42" i="3"/>
  <c r="J42" i="3" s="1"/>
  <c r="K42" i="3" s="1"/>
  <c r="L42" i="3" s="1"/>
  <c r="I184" i="3"/>
  <c r="J184" i="3" s="1"/>
  <c r="K184" i="3" s="1"/>
  <c r="L184" i="3" s="1"/>
  <c r="I158" i="3"/>
  <c r="J158" i="3" s="1"/>
  <c r="K158" i="3" s="1"/>
  <c r="L158" i="3" s="1"/>
  <c r="I68" i="3"/>
  <c r="J68" i="3" s="1"/>
  <c r="K68" i="3" s="1"/>
  <c r="L68" i="3" s="1"/>
  <c r="I78" i="3"/>
  <c r="J78" i="3" s="1"/>
  <c r="K78" i="3" s="1"/>
  <c r="L78" i="3" s="1"/>
  <c r="I152" i="3"/>
  <c r="J152" i="3" s="1"/>
  <c r="K152" i="3" s="1"/>
  <c r="L152" i="3" s="1"/>
  <c r="I18" i="3"/>
  <c r="J18" i="3" s="1"/>
  <c r="K18" i="3" s="1"/>
  <c r="L18" i="3" s="1"/>
  <c r="I136" i="3"/>
  <c r="J136" i="3" s="1"/>
  <c r="K136" i="3" s="1"/>
  <c r="L136" i="3" s="1"/>
  <c r="I8" i="3"/>
  <c r="J8" i="3" s="1"/>
  <c r="K8" i="3" s="1"/>
  <c r="L8" i="3" s="1"/>
  <c r="I48" i="3"/>
  <c r="J48" i="3" s="1"/>
  <c r="K48" i="3" s="1"/>
  <c r="L48" i="3" s="1"/>
  <c r="I14" i="3"/>
  <c r="J14" i="3" s="1"/>
  <c r="K14" i="3" s="1"/>
  <c r="L14" i="3" s="1"/>
  <c r="I98" i="3"/>
  <c r="J98" i="3" s="1"/>
  <c r="K98" i="3" s="1"/>
  <c r="L98" i="3" s="1"/>
  <c r="I52" i="3"/>
  <c r="J52" i="3" s="1"/>
  <c r="K52" i="3" s="1"/>
  <c r="L52" i="3" s="1"/>
  <c r="I72" i="3"/>
  <c r="J72" i="3" s="1"/>
  <c r="K72" i="3" s="1"/>
  <c r="L72" i="3" s="1"/>
  <c r="I50" i="3"/>
  <c r="J50" i="3" s="1"/>
  <c r="K50" i="3" s="1"/>
  <c r="L50" i="3" s="1"/>
  <c r="I30" i="3"/>
  <c r="J30" i="3" s="1"/>
  <c r="K30" i="3" s="1"/>
  <c r="L30" i="3" s="1"/>
  <c r="I64" i="3"/>
  <c r="J64" i="3" s="1"/>
  <c r="K64" i="3" s="1"/>
  <c r="L64" i="3" s="1"/>
  <c r="I92" i="3"/>
  <c r="J92" i="3" s="1"/>
  <c r="K92" i="3" s="1"/>
  <c r="L92" i="3" s="1"/>
  <c r="I118" i="3"/>
  <c r="J118" i="3" s="1"/>
  <c r="K118" i="3" s="1"/>
  <c r="L118" i="3" s="1"/>
  <c r="I4" i="3"/>
  <c r="J4" i="3" s="1"/>
  <c r="K4" i="3" s="1"/>
  <c r="L4" i="3" s="1"/>
  <c r="I100" i="3"/>
  <c r="J100" i="3" s="1"/>
  <c r="K100" i="3" s="1"/>
  <c r="L100" i="3" s="1"/>
  <c r="I58" i="3"/>
  <c r="J58" i="3" s="1"/>
  <c r="K58" i="3" s="1"/>
  <c r="L58" i="3" s="1"/>
  <c r="I96" i="3"/>
  <c r="J96" i="3" s="1"/>
  <c r="K96" i="3" s="1"/>
  <c r="L96" i="3" s="1"/>
  <c r="I178" i="3"/>
  <c r="J178" i="3" s="1"/>
  <c r="K178" i="3" s="1"/>
  <c r="L178" i="3" s="1"/>
  <c r="I106" i="3"/>
  <c r="J106" i="3" s="1"/>
  <c r="K106" i="3" s="1"/>
  <c r="L106" i="3" s="1"/>
  <c r="I156" i="3"/>
  <c r="J156" i="3" s="1"/>
  <c r="K156" i="3" s="1"/>
  <c r="L156" i="3" s="1"/>
  <c r="I32" i="3"/>
  <c r="J32" i="3" s="1"/>
  <c r="K32" i="3" s="1"/>
  <c r="L32" i="3" s="1"/>
  <c r="I138" i="3"/>
  <c r="J138" i="3" s="1"/>
  <c r="K138" i="3" s="1"/>
  <c r="L138" i="3" s="1"/>
  <c r="I132" i="3"/>
  <c r="J132" i="3" s="1"/>
  <c r="K132" i="3" s="1"/>
  <c r="L132" i="3" s="1"/>
  <c r="I142" i="3"/>
  <c r="J142" i="3" s="1"/>
  <c r="K142" i="3" s="1"/>
  <c r="L142" i="3" s="1"/>
  <c r="I28" i="3"/>
  <c r="J28" i="3" s="1"/>
  <c r="K28" i="3" s="1"/>
  <c r="L28" i="3" s="1"/>
  <c r="I34" i="3"/>
  <c r="J34" i="3" s="1"/>
  <c r="K34" i="3" s="1"/>
  <c r="L34" i="3" s="1"/>
  <c r="I104" i="3"/>
  <c r="J104" i="3" s="1"/>
  <c r="K104" i="3" s="1"/>
  <c r="L104" i="3" s="1"/>
  <c r="I116" i="3"/>
  <c r="J116" i="3" s="1"/>
  <c r="K116" i="3" s="1"/>
  <c r="L116" i="3" s="1"/>
  <c r="I112" i="3"/>
  <c r="J112" i="3" s="1"/>
  <c r="K112" i="3" s="1"/>
  <c r="L112" i="3" s="1"/>
  <c r="I128" i="3"/>
  <c r="J128" i="3" s="1"/>
  <c r="K128" i="3" s="1"/>
  <c r="L128" i="3" s="1"/>
  <c r="I162" i="3"/>
  <c r="J162" i="3" s="1"/>
  <c r="K162" i="3" s="1"/>
  <c r="L162" i="3" s="1"/>
  <c r="I108" i="3"/>
  <c r="J108" i="3" s="1"/>
  <c r="K108" i="3" s="1"/>
  <c r="L108" i="3" s="1"/>
  <c r="I76" i="3"/>
  <c r="J76" i="3" s="1"/>
  <c r="K76" i="3" s="1"/>
  <c r="L76" i="3" s="1"/>
  <c r="I110" i="3"/>
  <c r="J110" i="3" s="1"/>
  <c r="K110" i="3" s="1"/>
  <c r="L110" i="3" s="1"/>
  <c r="I54" i="3"/>
  <c r="J54" i="3" s="1"/>
  <c r="K54" i="3" s="1"/>
  <c r="L54" i="3" s="1"/>
  <c r="I182" i="3"/>
  <c r="J182" i="3" s="1"/>
  <c r="K182" i="3" s="1"/>
  <c r="L182" i="3" s="1"/>
  <c r="I24" i="3"/>
  <c r="J24" i="3" s="1"/>
  <c r="K24" i="3" s="1"/>
  <c r="L24" i="3" s="1"/>
  <c r="I20" i="3"/>
  <c r="J20" i="3" s="1"/>
  <c r="K20" i="3" s="1"/>
  <c r="L20" i="3" s="1"/>
  <c r="I163" i="3"/>
  <c r="J163" i="3" s="1"/>
  <c r="K163" i="3" s="1"/>
  <c r="L163" i="3" s="1"/>
  <c r="I174" i="3"/>
  <c r="J174" i="3" s="1"/>
  <c r="K174" i="3" s="1"/>
  <c r="L174" i="3" s="1"/>
  <c r="I82" i="3"/>
  <c r="J82" i="3" s="1"/>
  <c r="K82" i="3" s="1"/>
  <c r="L82" i="3" s="1"/>
  <c r="I88" i="3"/>
  <c r="J88" i="3" s="1"/>
  <c r="K88" i="3" s="1"/>
  <c r="L88" i="3" s="1"/>
  <c r="I154" i="3"/>
  <c r="J154" i="3" s="1"/>
  <c r="K154" i="3" s="1"/>
  <c r="L154" i="3" s="1"/>
  <c r="I168" i="3"/>
  <c r="J168" i="3" s="1"/>
  <c r="K168" i="3" s="1"/>
  <c r="L168" i="3" s="1"/>
  <c r="I80" i="3"/>
  <c r="J80" i="3" s="1"/>
  <c r="K80" i="3" s="1"/>
  <c r="L80" i="3" s="1"/>
  <c r="I180" i="3"/>
  <c r="J180" i="3" s="1"/>
  <c r="K180" i="3" s="1"/>
  <c r="L180" i="3" s="1"/>
  <c r="I102" i="3"/>
  <c r="J102" i="3" s="1"/>
  <c r="K102" i="3" s="1"/>
  <c r="L102" i="3" s="1"/>
  <c r="I172" i="3"/>
  <c r="J172" i="3" s="1"/>
  <c r="K172" i="3" s="1"/>
  <c r="L172" i="3" s="1"/>
  <c r="I124" i="3"/>
  <c r="J124" i="3" s="1"/>
  <c r="K124" i="3" s="1"/>
  <c r="L124" i="3" s="1"/>
  <c r="I148" i="3"/>
  <c r="J148" i="3" s="1"/>
  <c r="K148" i="3" s="1"/>
  <c r="L148" i="3" s="1"/>
  <c r="I44" i="3"/>
  <c r="J44" i="3" s="1"/>
  <c r="K44" i="3" s="1"/>
  <c r="L44" i="3" s="1"/>
  <c r="I122" i="3"/>
  <c r="J122" i="3" s="1"/>
  <c r="K122" i="3" s="1"/>
  <c r="L122" i="3" s="1"/>
  <c r="I46" i="3"/>
  <c r="J46" i="3" s="1"/>
  <c r="K46" i="3" s="1"/>
  <c r="L46" i="3" s="1"/>
  <c r="I130" i="3"/>
  <c r="J130" i="3" s="1"/>
  <c r="K130" i="3" s="1"/>
  <c r="L130" i="3" s="1"/>
  <c r="I70" i="3"/>
  <c r="J70" i="3" s="1"/>
  <c r="K70" i="3" s="1"/>
  <c r="L70" i="3" s="1"/>
  <c r="I22" i="3"/>
  <c r="J22" i="3" s="1"/>
  <c r="K22" i="3" s="1"/>
  <c r="L22" i="3" s="1"/>
  <c r="I60" i="3"/>
  <c r="J60" i="3" s="1"/>
  <c r="K60" i="3" s="1"/>
  <c r="L60" i="3" s="1"/>
  <c r="I144" i="3"/>
  <c r="J144" i="3" s="1"/>
  <c r="K144" i="3" s="1"/>
  <c r="L144" i="3" s="1"/>
  <c r="I120" i="3"/>
  <c r="J120" i="3" s="1"/>
  <c r="K120" i="3" s="1"/>
  <c r="L120" i="3" s="1"/>
  <c r="I140" i="3"/>
  <c r="J140" i="3" s="1"/>
  <c r="K140" i="3" s="1"/>
  <c r="L140" i="3" s="1"/>
  <c r="I170" i="3"/>
  <c r="J170" i="3" s="1"/>
  <c r="K170" i="3" s="1"/>
  <c r="L170" i="3" s="1"/>
  <c r="I2" i="3"/>
  <c r="J2" i="3" s="1"/>
  <c r="K2" i="3" s="1"/>
  <c r="L2" i="3" s="1"/>
  <c r="I150" i="3"/>
  <c r="J150" i="3" s="1"/>
  <c r="K150" i="3" s="1"/>
  <c r="L150" i="3" s="1"/>
  <c r="I10" i="3"/>
  <c r="J10" i="3" s="1"/>
  <c r="K10" i="3" s="1"/>
  <c r="L10" i="3" s="1"/>
  <c r="I126" i="3"/>
  <c r="J126" i="3" s="1"/>
  <c r="K126" i="3" s="1"/>
  <c r="L126" i="3" s="1"/>
  <c r="I6" i="3"/>
  <c r="J6" i="3" s="1"/>
  <c r="K6" i="3" s="1"/>
  <c r="L6" i="3" s="1"/>
  <c r="I146" i="3"/>
  <c r="J146" i="3" s="1"/>
  <c r="K146" i="3" s="1"/>
  <c r="L146" i="3" s="1"/>
  <c r="I134" i="3"/>
  <c r="J134" i="3" s="1"/>
  <c r="K134" i="3" s="1"/>
  <c r="L134" i="3" s="1"/>
  <c r="I114" i="3"/>
  <c r="J114" i="3" s="1"/>
  <c r="K114" i="3" s="1"/>
  <c r="L114" i="3" s="1"/>
  <c r="I16" i="3"/>
  <c r="J16" i="3" s="1"/>
  <c r="K16" i="3" s="1"/>
  <c r="L16" i="3" s="1"/>
  <c r="I56" i="3"/>
  <c r="J56" i="3" s="1"/>
  <c r="K56" i="3" s="1"/>
  <c r="L56" i="3" s="1"/>
  <c r="I66" i="3"/>
  <c r="J66" i="3" s="1"/>
  <c r="K66" i="3" s="1"/>
  <c r="L66" i="3" s="1"/>
  <c r="I12" i="3"/>
  <c r="J12" i="3" s="1"/>
  <c r="K12" i="3" s="1"/>
  <c r="L12" i="3" s="1"/>
  <c r="I94" i="3"/>
  <c r="J94" i="3" s="1"/>
  <c r="K94" i="3" s="1"/>
  <c r="L94" i="3" s="1"/>
  <c r="I90" i="3"/>
  <c r="J90" i="3" s="1"/>
  <c r="K90" i="3" s="1"/>
  <c r="L90" i="3" s="1"/>
  <c r="I74" i="3"/>
  <c r="J74" i="3" s="1"/>
  <c r="K74" i="3" s="1"/>
  <c r="L74" i="3" s="1"/>
  <c r="I84" i="3"/>
  <c r="J84" i="3" s="1"/>
  <c r="K84" i="3" s="1"/>
  <c r="L84" i="3" s="1"/>
  <c r="I39" i="3"/>
  <c r="J39" i="3" s="1"/>
  <c r="K39" i="3" s="1"/>
  <c r="L39" i="3" s="1"/>
  <c r="I164" i="3"/>
  <c r="J164" i="3" s="1"/>
  <c r="K164" i="3" s="1"/>
  <c r="L164" i="3" s="1"/>
  <c r="I19" i="3"/>
  <c r="J19" i="3" s="1"/>
  <c r="K19" i="3" s="1"/>
  <c r="L19" i="3" s="1"/>
  <c r="I143" i="3"/>
  <c r="J143" i="3" s="1"/>
  <c r="K143" i="3" s="1"/>
  <c r="L143" i="3" s="1"/>
  <c r="I21" i="3"/>
  <c r="J21" i="3" s="1"/>
  <c r="K21" i="3" s="1"/>
  <c r="L21" i="3" s="1"/>
  <c r="I177" i="3"/>
  <c r="J177" i="3" s="1"/>
  <c r="K177" i="3" s="1"/>
  <c r="L177" i="3" s="1"/>
  <c r="I47" i="3"/>
  <c r="J47" i="3" s="1"/>
  <c r="K47" i="3" s="1"/>
  <c r="L47" i="3" s="1"/>
  <c r="I131" i="3"/>
  <c r="J131" i="3" s="1"/>
  <c r="K131" i="3" s="1"/>
  <c r="L131" i="3" s="1"/>
  <c r="I125" i="3"/>
  <c r="J125" i="3" s="1"/>
  <c r="K125" i="3" s="1"/>
  <c r="L125" i="3" s="1"/>
  <c r="I91" i="3"/>
  <c r="J91" i="3" s="1"/>
  <c r="K91" i="3" s="1"/>
  <c r="L91" i="3" s="1"/>
  <c r="I157" i="3"/>
  <c r="J157" i="3" s="1"/>
  <c r="K157" i="3" s="1"/>
  <c r="L157" i="3" s="1"/>
  <c r="I147" i="3"/>
  <c r="J147" i="3" s="1"/>
  <c r="K147" i="3" s="1"/>
  <c r="L147" i="3" s="1"/>
  <c r="I135" i="3"/>
  <c r="J135" i="3" s="1"/>
  <c r="K135" i="3" s="1"/>
  <c r="L135" i="3" s="1"/>
  <c r="I25" i="3"/>
  <c r="J25" i="3" s="1"/>
  <c r="K25" i="3" s="1"/>
  <c r="L25" i="3" s="1"/>
  <c r="I9" i="3"/>
  <c r="J9" i="3" s="1"/>
  <c r="K9" i="3" s="1"/>
  <c r="L9" i="3" s="1"/>
  <c r="I165" i="3"/>
  <c r="J165" i="3" s="1"/>
  <c r="K165" i="3" s="1"/>
  <c r="L165" i="3" s="1"/>
  <c r="I33" i="3"/>
  <c r="J33" i="3" s="1"/>
  <c r="K33" i="3" s="1"/>
  <c r="L33" i="3" s="1"/>
  <c r="I183" i="3"/>
  <c r="J183" i="3" s="1"/>
  <c r="K183" i="3" s="1"/>
  <c r="L183" i="3" s="1"/>
  <c r="I83" i="3"/>
  <c r="J83" i="3" s="1"/>
  <c r="K83" i="3" s="1"/>
  <c r="L83" i="3" s="1"/>
  <c r="I109" i="3"/>
  <c r="J109" i="3" s="1"/>
  <c r="K109" i="3" s="1"/>
  <c r="L109" i="3" s="1"/>
  <c r="I103" i="3"/>
  <c r="J103" i="3" s="1"/>
  <c r="K103" i="3" s="1"/>
  <c r="L103" i="3" s="1"/>
  <c r="I45" i="3"/>
  <c r="J45" i="3" s="1"/>
  <c r="K45" i="3" s="1"/>
  <c r="L45" i="3" s="1"/>
  <c r="I121" i="3"/>
  <c r="J121" i="3" s="1"/>
  <c r="K121" i="3" s="1"/>
  <c r="L121" i="3" s="1"/>
  <c r="I7" i="3"/>
  <c r="J7" i="3" s="1"/>
  <c r="K7" i="3" s="1"/>
  <c r="L7" i="3" s="1"/>
  <c r="I93" i="3"/>
  <c r="J93" i="3" s="1"/>
  <c r="K93" i="3" s="1"/>
  <c r="L93" i="3" s="1"/>
  <c r="I11" i="3"/>
  <c r="J11" i="3" s="1"/>
  <c r="K11" i="3" s="1"/>
  <c r="L11" i="3" s="1"/>
  <c r="I141" i="3"/>
  <c r="J141" i="3" s="1"/>
  <c r="K141" i="3" s="1"/>
  <c r="L141" i="3" s="1"/>
  <c r="I51" i="3"/>
  <c r="J51" i="3" s="1"/>
  <c r="K51" i="3" s="1"/>
  <c r="L51" i="3" s="1"/>
  <c r="I173" i="3"/>
  <c r="J173" i="3" s="1"/>
  <c r="K173" i="3" s="1"/>
  <c r="L173" i="3" s="1"/>
  <c r="I13" i="3"/>
  <c r="J13" i="3" s="1"/>
  <c r="K13" i="3" s="1"/>
  <c r="L13" i="3" s="1"/>
  <c r="I161" i="3"/>
  <c r="J161" i="3" s="1"/>
  <c r="K161" i="3" s="1"/>
  <c r="L161" i="3" s="1"/>
  <c r="I23" i="3"/>
  <c r="J23" i="3" s="1"/>
  <c r="K23" i="3" s="1"/>
  <c r="L23" i="3" s="1"/>
  <c r="I71" i="3"/>
  <c r="J71" i="3" s="1"/>
  <c r="K71" i="3" s="1"/>
  <c r="L71" i="3" s="1"/>
  <c r="I139" i="3"/>
  <c r="J139" i="3" s="1"/>
  <c r="K139" i="3" s="1"/>
  <c r="L139" i="3" s="1"/>
  <c r="I111" i="3"/>
  <c r="J111" i="3" s="1"/>
  <c r="K111" i="3" s="1"/>
  <c r="L111" i="3" s="1"/>
  <c r="I35" i="3"/>
  <c r="J35" i="3" s="1"/>
  <c r="K35" i="3" s="1"/>
  <c r="L35" i="3" s="1"/>
  <c r="I159" i="3"/>
  <c r="J159" i="3" s="1"/>
  <c r="K159" i="3" s="1"/>
  <c r="L159" i="3" s="1"/>
  <c r="I185" i="3"/>
  <c r="J185" i="3" s="1"/>
  <c r="K185" i="3" s="1"/>
  <c r="L185" i="3" s="1"/>
  <c r="I167" i="3"/>
  <c r="J167" i="3" s="1"/>
  <c r="K167" i="3" s="1"/>
  <c r="L167" i="3" s="1"/>
  <c r="I175" i="3"/>
  <c r="J175" i="3" s="1"/>
  <c r="K175" i="3" s="1"/>
  <c r="L175" i="3" s="1"/>
  <c r="I31" i="3"/>
  <c r="J31" i="3" s="1"/>
  <c r="K31" i="3" s="1"/>
  <c r="L31" i="3" s="1"/>
  <c r="I99" i="3"/>
  <c r="J99" i="3" s="1"/>
  <c r="K99" i="3" s="1"/>
  <c r="L99" i="3" s="1"/>
  <c r="I37" i="3"/>
  <c r="J37" i="3" s="1"/>
  <c r="K37" i="3" s="1"/>
  <c r="L37" i="3" s="1"/>
  <c r="I115" i="3"/>
  <c r="J115" i="3" s="1"/>
  <c r="K115" i="3" s="1"/>
  <c r="L115" i="3" s="1"/>
  <c r="I3" i="3"/>
  <c r="J3" i="3" s="1"/>
  <c r="K3" i="3" s="1"/>
  <c r="L3" i="3" s="1"/>
  <c r="I95" i="3"/>
  <c r="J95" i="3" s="1"/>
  <c r="K95" i="3" s="1"/>
  <c r="L95" i="3" s="1"/>
  <c r="I53" i="3"/>
  <c r="J53" i="3" s="1"/>
  <c r="K53" i="3" s="1"/>
  <c r="L53" i="3" s="1"/>
  <c r="I149" i="3"/>
  <c r="J149" i="3" s="1"/>
  <c r="K149" i="3" s="1"/>
  <c r="L149" i="3" s="1"/>
  <c r="I49" i="3"/>
  <c r="J49" i="3" s="1"/>
  <c r="K49" i="3" s="1"/>
  <c r="L49" i="3" s="1"/>
  <c r="I127" i="3"/>
  <c r="J127" i="3" s="1"/>
  <c r="K127" i="3" s="1"/>
  <c r="L127" i="3" s="1"/>
  <c r="I85" i="3"/>
  <c r="J85" i="3" s="1"/>
  <c r="K85" i="3" s="1"/>
  <c r="L85" i="3" s="1"/>
  <c r="I101" i="3"/>
  <c r="J101" i="3" s="1"/>
  <c r="K101" i="3" s="1"/>
  <c r="L101" i="3" s="1"/>
  <c r="I123" i="3"/>
  <c r="J123" i="3" s="1"/>
  <c r="K123" i="3" s="1"/>
  <c r="L123" i="3" s="1"/>
  <c r="I61" i="3"/>
  <c r="J61" i="3" s="1"/>
  <c r="K61" i="3" s="1"/>
  <c r="L61" i="3" s="1"/>
  <c r="I179" i="3"/>
  <c r="J179" i="3" s="1"/>
  <c r="K179" i="3" s="1"/>
  <c r="L179" i="3" s="1"/>
  <c r="I67" i="3"/>
  <c r="J67" i="3" s="1"/>
  <c r="K67" i="3" s="1"/>
  <c r="L67" i="3" s="1"/>
  <c r="I65" i="3"/>
  <c r="J65" i="3" s="1"/>
  <c r="K65" i="3" s="1"/>
  <c r="L65" i="3" s="1"/>
  <c r="I129" i="3"/>
  <c r="J129" i="3" s="1"/>
  <c r="K129" i="3" s="1"/>
  <c r="L129" i="3" s="1"/>
  <c r="I29" i="3"/>
  <c r="J29" i="3" s="1"/>
  <c r="K29" i="3" s="1"/>
  <c r="L29" i="3" s="1"/>
  <c r="I113" i="3"/>
  <c r="J113" i="3" s="1"/>
  <c r="K113" i="3" s="1"/>
  <c r="L113" i="3" s="1"/>
  <c r="I119" i="3"/>
  <c r="J119" i="3" s="1"/>
  <c r="K119" i="3" s="1"/>
  <c r="L119" i="3" s="1"/>
  <c r="I77" i="3"/>
  <c r="J77" i="3" s="1"/>
  <c r="K77" i="3" s="1"/>
  <c r="L77" i="3" s="1"/>
  <c r="I40" i="3"/>
  <c r="J40" i="3" s="1"/>
  <c r="K40" i="3" s="1"/>
  <c r="L40" i="3" s="1"/>
  <c r="I17" i="3"/>
  <c r="J17" i="3" s="1"/>
  <c r="K17" i="3" s="1"/>
  <c r="L17" i="3" s="1"/>
  <c r="I155" i="3"/>
  <c r="J155" i="3" s="1"/>
  <c r="K155" i="3" s="1"/>
  <c r="L155" i="3" s="1"/>
  <c r="I137" i="3"/>
  <c r="J137" i="3" s="1"/>
  <c r="K137" i="3" s="1"/>
  <c r="L137" i="3" s="1"/>
  <c r="I15" i="3"/>
  <c r="J15" i="3" s="1"/>
  <c r="K15" i="3" s="1"/>
  <c r="L15" i="3" s="1"/>
  <c r="I89" i="3"/>
  <c r="J89" i="3" s="1"/>
  <c r="K89" i="3" s="1"/>
  <c r="L89" i="3" s="1"/>
  <c r="I169" i="3"/>
  <c r="J169" i="3" s="1"/>
  <c r="K169" i="3" s="1"/>
  <c r="L169" i="3" s="1"/>
  <c r="I117" i="3"/>
  <c r="J117" i="3" s="1"/>
  <c r="K117" i="3" s="1"/>
  <c r="L117" i="3" s="1"/>
  <c r="I41" i="3"/>
  <c r="J41" i="3" s="1"/>
  <c r="K41" i="3" s="1"/>
  <c r="L41" i="3" s="1"/>
  <c r="I79" i="3"/>
  <c r="J79" i="3" s="1"/>
  <c r="K79" i="3" s="1"/>
  <c r="L79" i="3" s="1"/>
  <c r="I73" i="3"/>
  <c r="J73" i="3" s="1"/>
  <c r="K73" i="3" s="1"/>
  <c r="L73" i="3" s="1"/>
  <c r="I81" i="3"/>
  <c r="J81" i="3" s="1"/>
  <c r="K81" i="3" s="1"/>
  <c r="L81" i="3" s="1"/>
  <c r="I59" i="3"/>
  <c r="J59" i="3" s="1"/>
  <c r="K59" i="3" s="1"/>
  <c r="L59" i="3" s="1"/>
  <c r="I151" i="3"/>
  <c r="J151" i="3" s="1"/>
  <c r="K151" i="3" s="1"/>
  <c r="L151" i="3" s="1"/>
  <c r="I181" i="3"/>
  <c r="J181" i="3" s="1"/>
  <c r="K181" i="3" s="1"/>
  <c r="L181" i="3" s="1"/>
  <c r="I105" i="3"/>
  <c r="J105" i="3" s="1"/>
  <c r="K105" i="3" s="1"/>
  <c r="L105" i="3" s="1"/>
  <c r="I171" i="3"/>
  <c r="J171" i="3" s="1"/>
  <c r="K171" i="3" s="1"/>
  <c r="L171" i="3" s="1"/>
  <c r="I145" i="3"/>
  <c r="J145" i="3" s="1"/>
  <c r="K145" i="3" s="1"/>
  <c r="L145" i="3" s="1"/>
  <c r="I75" i="3"/>
  <c r="J75" i="3" s="1"/>
  <c r="K75" i="3" s="1"/>
  <c r="L75" i="3" s="1"/>
  <c r="I5" i="3"/>
  <c r="J5" i="3" s="1"/>
  <c r="K5" i="3" s="1"/>
  <c r="L5" i="3" s="1"/>
  <c r="I63" i="3"/>
  <c r="J63" i="3" s="1"/>
  <c r="K63" i="3" s="1"/>
  <c r="L63" i="3" s="1"/>
  <c r="I153" i="3"/>
  <c r="J153" i="3" s="1"/>
  <c r="K153" i="3" s="1"/>
  <c r="L153" i="3" s="1"/>
  <c r="I69" i="3"/>
  <c r="J69" i="3" s="1"/>
  <c r="K69" i="3" s="1"/>
  <c r="L69" i="3" s="1"/>
  <c r="I97" i="3"/>
  <c r="J97" i="3" s="1"/>
  <c r="K97" i="3" s="1"/>
  <c r="L97" i="3" s="1"/>
  <c r="I43" i="3"/>
  <c r="J43" i="3" s="1"/>
  <c r="K43" i="3" s="1"/>
  <c r="L43" i="3" s="1"/>
  <c r="I107" i="3"/>
  <c r="J107" i="3" s="1"/>
  <c r="K107" i="3" s="1"/>
  <c r="L107" i="3" s="1"/>
  <c r="I55" i="3"/>
  <c r="J55" i="3" s="1"/>
  <c r="K55" i="3" s="1"/>
  <c r="L55" i="3" s="1"/>
  <c r="I87" i="3"/>
  <c r="J87" i="3" s="1"/>
  <c r="K87" i="3" s="1"/>
  <c r="L87" i="3" s="1"/>
  <c r="I57" i="3"/>
  <c r="J57" i="3" s="1"/>
  <c r="K57" i="3" s="1"/>
  <c r="L57" i="3" s="1"/>
  <c r="I27" i="3"/>
  <c r="J27" i="3" s="1"/>
  <c r="K27" i="3" s="1"/>
  <c r="L27" i="3" s="1"/>
  <c r="I133" i="3"/>
  <c r="J133" i="3" s="1"/>
  <c r="K133" i="3" s="1"/>
  <c r="L133" i="3" s="1"/>
  <c r="Q4" i="3"/>
  <c r="Q3" i="3"/>
  <c r="Q2" i="3"/>
  <c r="H106" i="1"/>
  <c r="D106" i="1"/>
  <c r="I106" i="1"/>
  <c r="H115" i="2"/>
  <c r="C115" i="2"/>
  <c r="Q17" i="3" l="1" a="1"/>
  <c r="Q17" i="3" s="1"/>
  <c r="Q19" i="3"/>
  <c r="P22" i="3"/>
  <c r="Q11" i="3"/>
  <c r="Q6" i="3"/>
  <c r="Q5" i="3"/>
  <c r="N7" i="4" l="1" a="1"/>
  <c r="N7" i="4" s="1"/>
  <c r="B7" i="4" a="1"/>
  <c r="B7"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123663-5187-4517-A13B-6200A57EA3E3}" keepAlive="1" name="Query - All Staff" description="Connection to the 'All Staff' query in the workbook." type="5" refreshedVersion="8" background="1" saveData="1">
    <dbPr connection="Provider=Microsoft.Mashup.OleDb.1;Data Source=$Workbook$;Location=&quot;All Staff&quot;;Extended Properties=&quot;&quot;" command="SELECT * FROM [All Staff]"/>
  </connection>
  <connection id="2" xr16:uid="{098B926C-170D-411F-8214-B885A7E96AD2}" keepAlive="1" name="Query - india" description="Connection to the 'india' query in the workbook." type="5" refreshedVersion="0" background="1">
    <dbPr connection="Provider=Microsoft.Mashup.OleDb.1;Data Source=$Workbook$;Location=india;Extended Properties=&quot;&quot;" command="SELECT * FROM [india]"/>
  </connection>
  <connection id="3" xr16:uid="{0A960B01-DFB0-4C14-A0CF-4109576D3DE1}" keepAlive="1" name="Query - NZ" description="Connection to the 'NZ' query in the workbook." type="5" refreshedVersion="0" background="1">
    <dbPr connection="Provider=Microsoft.Mashup.OleDb.1;Data Source=$Workbook$;Location=NZ;Extended Properties=&quot;&quot;" command="SELECT * FROM [NZ]"/>
  </connection>
  <connection id="4" xr16:uid="{3B446B28-D68C-4757-811F-A2064BD196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F8883CD-D408-4EF0-9136-17B4CA8B5B22}" name="WorksheetConnection_blank-data-file (1).xlsx!All_Staff" type="102" refreshedVersion="8" minRefreshableVersion="5">
    <extLst>
      <ext xmlns:x15="http://schemas.microsoft.com/office/spreadsheetml/2010/11/main" uri="{DE250136-89BD-433C-8126-D09CA5730AF9}">
        <x15:connection id="All_Staff" autoDelete="1">
          <x15:rangePr sourceName="_xlcn.WorksheetConnection_blankdatafile1.xlsxAll_Staff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3">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2">
    <s v="ThisWorkbookDataModel"/>
    <s v="{[All_Staff].[Country].[All]}"/>
  </metadataStrings>
  <mdxMetadata count="1">
    <mdx n="0" f="s">
      <ms ns="1" c="0"/>
    </mdx>
  </mdxMetadata>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2">
    <bk>
      <rc t="2" v="0"/>
    </bk>
    <bk>
      <rc t="3" v="0"/>
    </bk>
  </valueMetadata>
</metadata>
</file>

<file path=xl/sharedStrings.xml><?xml version="1.0" encoding="utf-8"?>
<sst xmlns="http://schemas.openxmlformats.org/spreadsheetml/2006/main" count="1853" uniqueCount="240">
  <si>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</si>
  <si>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</si>
  <si>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</si>
  <si>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</si>
  <si>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</si>
  <si>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</si>
  <si>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</si>
  <si>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</si>
  <si>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</si>
  <si>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</si>
  <si>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</si>
  <si>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</si>
  <si>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</si>
  <si>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</si>
  <si>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</si>
  <si>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</si>
  <si>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</si>
  <si>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</si>
  <si>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</si>
  <si>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</si>
  <si>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</si>
  <si>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</si>
  <si>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</si>
  <si>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</si>
  <si>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</si>
  <si>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</si>
  <si>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</si>
  <si>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</si>
  <si>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</si>
  <si>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</si>
  <si>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</si>
  <si>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</si>
  <si>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</si>
  <si>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</si>
  <si>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</si>
  <si>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</si>
  <si>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</si>
  <si>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</si>
  <si>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</si>
  <si>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</si>
  <si>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</si>
  <si>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</si>
  <si>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</si>
  <si>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</si>
  <si>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</si>
  <si>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</si>
  <si>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</si>
  <si>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</si>
  <si>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</si>
  <si>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</si>
  <si>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</si>
  <si>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</si>
  <si>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</si>
  <si>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</si>
  <si>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</si>
  <si>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</si>
  <si>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</si>
  <si>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</si>
  <si>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</si>
  <si>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</si>
  <si>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</si>
  <si>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</si>
  <si>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</si>
  <si>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</si>
  <si>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</si>
  <si>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</si>
  <si>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</si>
  <si>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</si>
  <si>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</si>
  <si>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</si>
  <si>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</si>
  <si>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</si>
  <si>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</si>
  <si>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</si>
  <si>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</si>
  <si>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</si>
  <si>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</si>
  <si>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</si>
  <si>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</si>
  <si>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</si>
  <si>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</si>
  <si>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</si>
  <si>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</si>
  <si>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</si>
  <si>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</si>
  <si>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</si>
  <si>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</si>
  <si>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</si>
  <si>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</si>
  <si>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</si>
  <si>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</si>
  <si>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</si>
  <si>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</si>
  <si>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</si>
  <si>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</si>
  <si>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</si>
  <si>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</si>
  <si>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</si>
  <si>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</si>
  <si>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</si>
  <si>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</si>
  <si>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</si>
  <si>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</si>
  <si>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</si>
  <si>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</si>
  <si>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</si>
  <si>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</si>
  <si>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</si>
  <si>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</si>
  <si>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</si>
  <si>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</si>
  <si>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</si>
  <si>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</si>
  <si>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</si>
  <si>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</si>
  <si>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</si>
  <si>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</si>
  <si>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</si>
  <si>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</si>
  <si>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</si>
  <si>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</si>
  <si>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</si>
  <si>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</si>
  <si>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</si>
  <si>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</si>
  <si>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</si>
  <si>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</si>
  <si>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</si>
  <si>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</si>
  <si>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</si>
  <si>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</si>
  <si>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</si>
  <si>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</si>
  <si>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</si>
  <si>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</si>
  <si>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</si>
  <si>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</si>
  <si>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</si>
  <si>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</si>
  <si>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</si>
  <si>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</si>
  <si>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</si>
  <si>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</si>
  <si>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</si>
  <si>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</si>
  <si>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</si>
  <si>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</si>
  <si>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</si>
  <si>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</si>
  <si>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</si>
  <si>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</si>
  <si>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</si>
  <si>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</si>
  <si>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</si>
  <si>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</si>
  <si>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</si>
  <si>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</si>
  <si>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</si>
  <si>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</si>
  <si>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</si>
  <si>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</si>
  <si>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</si>
  <si>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</si>
  <si>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</si>
  <si>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</si>
  <si>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</si>
  <si>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</si>
  <si>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</si>
  <si>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</si>
  <si>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</si>
  <si>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</si>
  <si>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</si>
  <si>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</si>
  <si>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</si>
  <si>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</si>
  <si>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</si>
  <si>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</si>
  <si>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</si>
  <si>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</si>
  <si>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</si>
  <si>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</si>
  <si>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</si>
  <si>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</si>
  <si>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</si>
  <si>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</si>
  <si>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</si>
  <si>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</si>
  <si>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</si>
  <si>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</si>
  <si>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</si>
  <si>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</si>
  <si>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</si>
  <si>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</si>
  <si>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</si>
  <si>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</si>
  <si>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</si>
  <si>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</si>
  <si>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</si>
  <si>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</si>
  <si>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</si>
  <si>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</si>
  <si>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</si>
  <si>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</si>
  <si>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Total</t>
  </si>
  <si>
    <t>Country</t>
  </si>
  <si>
    <t>NZ</t>
  </si>
  <si>
    <t>other</t>
  </si>
  <si>
    <t>india</t>
  </si>
  <si>
    <t>count of employees</t>
  </si>
  <si>
    <t>average age</t>
  </si>
  <si>
    <t>average salary</t>
  </si>
  <si>
    <t>current date</t>
  </si>
  <si>
    <t>femal ratio</t>
  </si>
  <si>
    <t>median of age</t>
  </si>
  <si>
    <t>median of salary</t>
  </si>
  <si>
    <t>count of female</t>
  </si>
  <si>
    <t>ratio of 90000$&gt;</t>
  </si>
  <si>
    <t>count of salary</t>
  </si>
  <si>
    <t>count of 90000</t>
  </si>
  <si>
    <t>average tunure</t>
  </si>
  <si>
    <t>tunure</t>
  </si>
  <si>
    <t>tunure in year</t>
  </si>
  <si>
    <t>info finder</t>
  </si>
  <si>
    <t xml:space="preserve">Dep name </t>
  </si>
  <si>
    <t>Row Labels</t>
  </si>
  <si>
    <t>Grand Total</t>
  </si>
  <si>
    <t>Column Labels</t>
  </si>
  <si>
    <t>Average of Age</t>
  </si>
  <si>
    <t>Count of Name</t>
  </si>
  <si>
    <t>All</t>
  </si>
  <si>
    <t>Values</t>
  </si>
  <si>
    <t>Average of Salary</t>
  </si>
  <si>
    <t>Bouns</t>
  </si>
  <si>
    <t>Rating in number</t>
  </si>
  <si>
    <t>2020</t>
  </si>
  <si>
    <t>2021</t>
  </si>
  <si>
    <t>2022</t>
  </si>
  <si>
    <t>2023</t>
  </si>
  <si>
    <t>Headcount by department</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</si>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</sst>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
  </numFmts>
  <fonts count="9" x14ac:knownFonts="1">
    <font>
      <sz val="11"/>
      <color theme="1"/>
      <name val="Calibri"/>
      <family val="2"/>
      <scheme val="minor"/>
    </font>
    <font>
      <sz val="28"/>
      <color theme="1"/>
      <name val="Segoe UI Light"/>
      <family val="2"/>
    </font>
    <font>
      <sz val="11"/>
      <color theme="1"/>
      <name val="Calibri"/>
      <family val="2"/>
      <scheme val="minor"/>
    </font>
    <font>
      <b/>
      <sz val="11"/>
      <color theme="1"/>
      <name val="Calibri"/>
      <family val="2"/>
      <scheme val="minor"/>
    </font>
    <font>
      <b/>
      <sz val="22"/>
      <color theme="1"/>
      <name val="Calibri"/>
      <family val="2"/>
      <scheme val="minor"/>
    </font>
    <font>
      <b/>
      <sz val="22"/>
      <color theme="0"/>
      <name val="Calibri"/>
      <family val="2"/>
      <scheme val="minor"/>
    </font>
    <font>
      <b/>
      <sz val="16"/>
      <color theme="1"/>
      <name val="Calibri"/>
      <family val="2"/>
      <scheme val="minor"/>
    </font>
    <font>
      <b/>
      <sz val="18"/>
      <color theme="0"/>
      <name val="Calibri"/>
      <family val="2"/>
      <scheme val="minor"/>
    </font>
    <font>
      <b/>
      <sz val="18"/>
      <color theme="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8">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5" fontId="0" fillId="0" borderId="0" xfId="0" applyNumberFormat="1"/>
    <xf numFmtId="164" fontId="0" fillId="0" borderId="0" xfId="1" applyNumberFormat="1" applyFont="1"/>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165" fontId="0" fillId="0" borderId="0" xfId="0" applyNumberFormat="1" applyAlignment="1">
      <alignment horizontal="center" vertical="center"/>
    </xf>
    <xf numFmtId="165" fontId="0" fillId="0" borderId="0" xfId="0" applyNumberFormat="1"/>
    <xf numFmtId="9" fontId="0" fillId="0" borderId="0" xfId="2" applyFont="1"/>
    <xf numFmtId="0" fontId="0" fillId="4" borderId="0" xfId="0"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0" fontId="0" fillId="0" borderId="0" xfId="0" applyNumberFormat="1" applyAlignment="1">
      <alignment horizontal="center" vertical="center"/>
    </xf>
    <xf numFmtId="164" fontId="0" fillId="0" borderId="0" xfId="1" applyNumberFormat="1" applyFont="1" applyAlignment="1">
      <alignment horizontal="center" vertical="center"/>
    </xf>
    <xf numFmtId="0" fontId="0" fillId="0" borderId="1" xfId="0"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4" fillId="6" borderId="0" xfId="0" applyFont="1" applyFill="1" applyAlignment="1">
      <alignment horizontal="center" vertical="center"/>
    </xf>
    <xf numFmtId="0" fontId="5" fillId="4" borderId="0" xfId="0" applyFont="1" applyFill="1" applyAlignment="1">
      <alignment horizontal="center" vertical="center"/>
    </xf>
    <xf numFmtId="164" fontId="4" fillId="6" borderId="0" xfId="1" applyNumberFormat="1" applyFont="1" applyFill="1" applyAlignment="1">
      <alignment horizontal="center" vertical="center"/>
    </xf>
    <xf numFmtId="164" fontId="5" fillId="4" borderId="0" xfId="1" applyNumberFormat="1" applyFont="1" applyFill="1" applyAlignment="1">
      <alignment horizontal="center" vertical="center"/>
    </xf>
    <xf numFmtId="0" fontId="6" fillId="7" borderId="0" xfId="0" applyFont="1" applyFill="1" applyAlignment="1">
      <alignment horizontal="center" vertical="center"/>
    </xf>
    <xf numFmtId="0" fontId="3" fillId="7" borderId="0" xfId="0" applyFont="1" applyFill="1" applyAlignment="1">
      <alignment horizontal="center" vertical="center"/>
    </xf>
    <xf numFmtId="0" fontId="7" fillId="5" borderId="0" xfId="0" applyFont="1" applyFill="1" applyAlignment="1">
      <alignment horizontal="center" vertical="center"/>
    </xf>
    <xf numFmtId="0" fontId="8" fillId="8" borderId="0" xfId="0" applyFont="1" applyFill="1" applyAlignment="1">
      <alignment horizontal="center" vertical="center"/>
    </xf>
  </cellXfs>
  <cellStyles count="3">
    <cellStyle name="Currency" xfId="1" builtinId="4"/>
    <cellStyle name="Normal" xfId="0" builtinId="0"/>
    <cellStyle name="Percent" xfId="2" builtinId="5"/>
  </cellStyles>
  <dxfs count="34">
    <dxf>
      <numFmt numFmtId="165" formatCode="0.0"/>
      <alignment horizontal="center" vertical="center" textRotation="0" wrapText="0" indent="0" justifyLastLine="0" shrinkToFit="0" readingOrder="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numFmt numFmtId="164" formatCode="_(&quot;$&quot;* #,##0_);_(&quot;$&quot;* \(#,##0\);_(&quot;$&quot;* &quot;-&quot;??_);_(@_)"/>
    </dxf>
    <dxf>
      <numFmt numFmtId="164" formatCode="_(&quot;$&quot;* #,##0_);_(&quot;$&quot;* \(#,##0\);_(&quot;$&quot;* &quot;-&quot;??_);_(@_)"/>
    </dxf>
    <dxf>
      <numFmt numFmtId="164" formatCode="_(&quot;$&quot;* #,##0_);_(&quot;$&quot;* \(#,##0\);_(&quot;$&quot;* &quot;-&quot;??_);_(@_)"/>
    </dxf>
    <dxf>
      <numFmt numFmtId="1" formatCode="0"/>
    </dxf>
    <dxf>
      <numFmt numFmtId="1" formatCode="0"/>
    </dxf>
    <dxf>
      <numFmt numFmtId="1" formatCode="0"/>
    </dxf>
    <dxf>
      <numFmt numFmtId="164" formatCode="_(&quot;$&quot;* #,##0_);_(&quot;$&quot;* \(#,##0\);_(&quot;$&quot;* &quot;-&quot;??_);_(@_)"/>
    </dxf>
    <dxf>
      <numFmt numFmtId="20" formatCode="d\-mmm\-yy"/>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'all Staff'!$F$2:$F$185</c:f>
              <c:numCache>
                <c:formatCode>General</c:formatCode>
                <c:ptCount val="184"/>
                <c:pt idx="0">
                  <c:v>33920</c:v>
                </c:pt>
                <c:pt idx="1">
                  <c:v>33920</c:v>
                </c:pt>
                <c:pt idx="2">
                  <c:v>34980</c:v>
                </c:pt>
                <c:pt idx="3">
                  <c:v>34980</c:v>
                </c:pt>
                <c:pt idx="4">
                  <c:v>36040</c:v>
                </c:pt>
                <c:pt idx="5">
                  <c:v>36040</c:v>
                </c:pt>
                <c:pt idx="6">
                  <c:v>37920</c:v>
                </c:pt>
                <c:pt idx="7">
                  <c:v>37920</c:v>
                </c:pt>
                <c:pt idx="8">
                  <c:v>40400</c:v>
                </c:pt>
                <c:pt idx="9">
                  <c:v>40400</c:v>
                </c:pt>
                <c:pt idx="10">
                  <c:v>41570</c:v>
                </c:pt>
                <c:pt idx="11">
                  <c:v>41570</c:v>
                </c:pt>
                <c:pt idx="12">
                  <c:v>41980</c:v>
                </c:pt>
                <c:pt idx="13">
                  <c:v>41980</c:v>
                </c:pt>
                <c:pt idx="14">
                  <c:v>43510</c:v>
                </c:pt>
                <c:pt idx="15">
                  <c:v>43510</c:v>
                </c:pt>
                <c:pt idx="16">
                  <c:v>43840</c:v>
                </c:pt>
                <c:pt idx="17">
                  <c:v>43840</c:v>
                </c:pt>
                <c:pt idx="18">
                  <c:v>45510</c:v>
                </c:pt>
                <c:pt idx="19">
                  <c:v>45510</c:v>
                </c:pt>
                <c:pt idx="20">
                  <c:v>47360</c:v>
                </c:pt>
                <c:pt idx="21">
                  <c:v>47360</c:v>
                </c:pt>
                <c:pt idx="22">
                  <c:v>48170</c:v>
                </c:pt>
                <c:pt idx="23">
                  <c:v>48170</c:v>
                </c:pt>
                <c:pt idx="24">
                  <c:v>48530</c:v>
                </c:pt>
                <c:pt idx="25">
                  <c:v>48530</c:v>
                </c:pt>
                <c:pt idx="26">
                  <c:v>48950</c:v>
                </c:pt>
                <c:pt idx="27">
                  <c:v>48950</c:v>
                </c:pt>
                <c:pt idx="28">
                  <c:v>48980</c:v>
                </c:pt>
                <c:pt idx="29">
                  <c:v>48980</c:v>
                </c:pt>
                <c:pt idx="30">
                  <c:v>49630</c:v>
                </c:pt>
                <c:pt idx="31">
                  <c:v>49630</c:v>
                </c:pt>
                <c:pt idx="32">
                  <c:v>52610</c:v>
                </c:pt>
                <c:pt idx="33">
                  <c:v>52610</c:v>
                </c:pt>
                <c:pt idx="34">
                  <c:v>53240</c:v>
                </c:pt>
                <c:pt idx="35">
                  <c:v>53240</c:v>
                </c:pt>
                <c:pt idx="36">
                  <c:v>53540</c:v>
                </c:pt>
                <c:pt idx="37">
                  <c:v>53540</c:v>
                </c:pt>
                <c:pt idx="38">
                  <c:v>53540</c:v>
                </c:pt>
                <c:pt idx="39">
                  <c:v>53540</c:v>
                </c:pt>
                <c:pt idx="40">
                  <c:v>53870</c:v>
                </c:pt>
                <c:pt idx="41">
                  <c:v>53870</c:v>
                </c:pt>
                <c:pt idx="42">
                  <c:v>54970</c:v>
                </c:pt>
                <c:pt idx="43">
                  <c:v>54970</c:v>
                </c:pt>
                <c:pt idx="44">
                  <c:v>56870</c:v>
                </c:pt>
                <c:pt idx="45">
                  <c:v>56870</c:v>
                </c:pt>
                <c:pt idx="46">
                  <c:v>57090</c:v>
                </c:pt>
                <c:pt idx="47">
                  <c:v>57090</c:v>
                </c:pt>
                <c:pt idx="48">
                  <c:v>58100</c:v>
                </c:pt>
                <c:pt idx="49">
                  <c:v>58100</c:v>
                </c:pt>
                <c:pt idx="50">
                  <c:v>58940</c:v>
                </c:pt>
                <c:pt idx="51">
                  <c:v>58940</c:v>
                </c:pt>
                <c:pt idx="52">
                  <c:v>58960</c:v>
                </c:pt>
                <c:pt idx="53">
                  <c:v>58960</c:v>
                </c:pt>
                <c:pt idx="54">
                  <c:v>59430</c:v>
                </c:pt>
                <c:pt idx="55">
                  <c:v>59430</c:v>
                </c:pt>
                <c:pt idx="56">
                  <c:v>60130</c:v>
                </c:pt>
                <c:pt idx="57">
                  <c:v>60130</c:v>
                </c:pt>
                <c:pt idx="58">
                  <c:v>60570</c:v>
                </c:pt>
                <c:pt idx="59">
                  <c:v>60570</c:v>
                </c:pt>
                <c:pt idx="60">
                  <c:v>62780</c:v>
                </c:pt>
                <c:pt idx="61">
                  <c:v>62780</c:v>
                </c:pt>
                <c:pt idx="62">
                  <c:v>64000</c:v>
                </c:pt>
                <c:pt idx="63">
                  <c:v>64000</c:v>
                </c:pt>
                <c:pt idx="64">
                  <c:v>65360</c:v>
                </c:pt>
                <c:pt idx="65">
                  <c:v>65360</c:v>
                </c:pt>
                <c:pt idx="66">
                  <c:v>65700</c:v>
                </c:pt>
                <c:pt idx="67">
                  <c:v>65700</c:v>
                </c:pt>
                <c:pt idx="68">
                  <c:v>65920</c:v>
                </c:pt>
                <c:pt idx="69">
                  <c:v>65920</c:v>
                </c:pt>
                <c:pt idx="70">
                  <c:v>67910</c:v>
                </c:pt>
                <c:pt idx="71">
                  <c:v>67910</c:v>
                </c:pt>
                <c:pt idx="72">
                  <c:v>67950</c:v>
                </c:pt>
                <c:pt idx="73">
                  <c:v>67950</c:v>
                </c:pt>
                <c:pt idx="74">
                  <c:v>68900</c:v>
                </c:pt>
                <c:pt idx="75">
                  <c:v>68900</c:v>
                </c:pt>
                <c:pt idx="76">
                  <c:v>69070</c:v>
                </c:pt>
                <c:pt idx="77">
                  <c:v>69070</c:v>
                </c:pt>
                <c:pt idx="78">
                  <c:v>69120</c:v>
                </c:pt>
                <c:pt idx="79">
                  <c:v>69120</c:v>
                </c:pt>
                <c:pt idx="80">
                  <c:v>69710</c:v>
                </c:pt>
                <c:pt idx="81">
                  <c:v>69710</c:v>
                </c:pt>
                <c:pt idx="82">
                  <c:v>70270</c:v>
                </c:pt>
                <c:pt idx="83">
                  <c:v>70270</c:v>
                </c:pt>
                <c:pt idx="84">
                  <c:v>70610</c:v>
                </c:pt>
                <c:pt idx="85">
                  <c:v>70610</c:v>
                </c:pt>
                <c:pt idx="86">
                  <c:v>71380</c:v>
                </c:pt>
                <c:pt idx="87">
                  <c:v>71380</c:v>
                </c:pt>
                <c:pt idx="88">
                  <c:v>74550</c:v>
                </c:pt>
                <c:pt idx="89">
                  <c:v>74550</c:v>
                </c:pt>
                <c:pt idx="90">
                  <c:v>75000</c:v>
                </c:pt>
                <c:pt idx="91">
                  <c:v>75000</c:v>
                </c:pt>
                <c:pt idx="92">
                  <c:v>75280</c:v>
                </c:pt>
                <c:pt idx="93">
                  <c:v>75280</c:v>
                </c:pt>
                <c:pt idx="94">
                  <c:v>75480</c:v>
                </c:pt>
                <c:pt idx="95">
                  <c:v>75480</c:v>
                </c:pt>
                <c:pt idx="96">
                  <c:v>75880</c:v>
                </c:pt>
                <c:pt idx="97">
                  <c:v>75880</c:v>
                </c:pt>
                <c:pt idx="98">
                  <c:v>75970</c:v>
                </c:pt>
                <c:pt idx="99">
                  <c:v>75970</c:v>
                </c:pt>
                <c:pt idx="100">
                  <c:v>76900</c:v>
                </c:pt>
                <c:pt idx="101">
                  <c:v>76900</c:v>
                </c:pt>
                <c:pt idx="102">
                  <c:v>78390</c:v>
                </c:pt>
                <c:pt idx="103">
                  <c:v>78390</c:v>
                </c:pt>
                <c:pt idx="104">
                  <c:v>78540</c:v>
                </c:pt>
                <c:pt idx="105">
                  <c:v>78540</c:v>
                </c:pt>
                <c:pt idx="106">
                  <c:v>79570</c:v>
                </c:pt>
                <c:pt idx="107">
                  <c:v>79570</c:v>
                </c:pt>
                <c:pt idx="108">
                  <c:v>80700</c:v>
                </c:pt>
                <c:pt idx="109">
                  <c:v>80700</c:v>
                </c:pt>
                <c:pt idx="110">
                  <c:v>83750</c:v>
                </c:pt>
                <c:pt idx="111">
                  <c:v>83750</c:v>
                </c:pt>
                <c:pt idx="112">
                  <c:v>85000</c:v>
                </c:pt>
                <c:pt idx="113">
                  <c:v>85000</c:v>
                </c:pt>
                <c:pt idx="114">
                  <c:v>86570</c:v>
                </c:pt>
                <c:pt idx="115">
                  <c:v>86570</c:v>
                </c:pt>
                <c:pt idx="116">
                  <c:v>87620</c:v>
                </c:pt>
                <c:pt idx="117">
                  <c:v>87620</c:v>
                </c:pt>
                <c:pt idx="118">
                  <c:v>88050</c:v>
                </c:pt>
                <c:pt idx="119">
                  <c:v>88050</c:v>
                </c:pt>
                <c:pt idx="120">
                  <c:v>90700</c:v>
                </c:pt>
                <c:pt idx="121">
                  <c:v>90700</c:v>
                </c:pt>
                <c:pt idx="122">
                  <c:v>91310</c:v>
                </c:pt>
                <c:pt idx="123">
                  <c:v>91310</c:v>
                </c:pt>
                <c:pt idx="124">
                  <c:v>91650</c:v>
                </c:pt>
                <c:pt idx="125">
                  <c:v>91650</c:v>
                </c:pt>
                <c:pt idx="126">
                  <c:v>92450</c:v>
                </c:pt>
                <c:pt idx="127">
                  <c:v>92450</c:v>
                </c:pt>
                <c:pt idx="128">
                  <c:v>92700</c:v>
                </c:pt>
                <c:pt idx="129">
                  <c:v>92700</c:v>
                </c:pt>
                <c:pt idx="130">
                  <c:v>96140</c:v>
                </c:pt>
                <c:pt idx="131">
                  <c:v>96140</c:v>
                </c:pt>
                <c:pt idx="132">
                  <c:v>96800</c:v>
                </c:pt>
                <c:pt idx="133">
                  <c:v>96800</c:v>
                </c:pt>
                <c:pt idx="134">
                  <c:v>99750</c:v>
                </c:pt>
                <c:pt idx="135">
                  <c:v>99750</c:v>
                </c:pt>
                <c:pt idx="136">
                  <c:v>99970</c:v>
                </c:pt>
                <c:pt idx="137">
                  <c:v>99970</c:v>
                </c:pt>
                <c:pt idx="138">
                  <c:v>100420</c:v>
                </c:pt>
                <c:pt idx="139">
                  <c:v>100420</c:v>
                </c:pt>
                <c:pt idx="140">
                  <c:v>103550</c:v>
                </c:pt>
                <c:pt idx="141">
                  <c:v>103550</c:v>
                </c:pt>
                <c:pt idx="142">
                  <c:v>104120</c:v>
                </c:pt>
                <c:pt idx="143">
                  <c:v>104120</c:v>
                </c:pt>
                <c:pt idx="144">
                  <c:v>104410</c:v>
                </c:pt>
                <c:pt idx="145">
                  <c:v>104410</c:v>
                </c:pt>
                <c:pt idx="146">
                  <c:v>104770</c:v>
                </c:pt>
                <c:pt idx="147">
                  <c:v>104770</c:v>
                </c:pt>
                <c:pt idx="148">
                  <c:v>106460</c:v>
                </c:pt>
                <c:pt idx="149">
                  <c:v>106460</c:v>
                </c:pt>
                <c:pt idx="150">
                  <c:v>107700</c:v>
                </c:pt>
                <c:pt idx="151">
                  <c:v>107700</c:v>
                </c:pt>
                <c:pt idx="152">
                  <c:v>109160</c:v>
                </c:pt>
                <c:pt idx="153">
                  <c:v>109160</c:v>
                </c:pt>
                <c:pt idx="154">
                  <c:v>109190</c:v>
                </c:pt>
                <c:pt idx="155">
                  <c:v>109190</c:v>
                </c:pt>
                <c:pt idx="156">
                  <c:v>112110</c:v>
                </c:pt>
                <c:pt idx="157">
                  <c:v>112110</c:v>
                </c:pt>
                <c:pt idx="158">
                  <c:v>112570</c:v>
                </c:pt>
                <c:pt idx="159">
                  <c:v>112570</c:v>
                </c:pt>
                <c:pt idx="160">
                  <c:v>112650</c:v>
                </c:pt>
                <c:pt idx="161">
                  <c:v>112650</c:v>
                </c:pt>
                <c:pt idx="162">
                  <c:v>112650</c:v>
                </c:pt>
                <c:pt idx="163">
                  <c:v>112650</c:v>
                </c:pt>
                <c:pt idx="164">
                  <c:v>112780</c:v>
                </c:pt>
                <c:pt idx="165">
                  <c:v>112780</c:v>
                </c:pt>
                <c:pt idx="166">
                  <c:v>113280</c:v>
                </c:pt>
                <c:pt idx="167">
                  <c:v>113280</c:v>
                </c:pt>
                <c:pt idx="168">
                  <c:v>114180</c:v>
                </c:pt>
                <c:pt idx="169">
                  <c:v>114180</c:v>
                </c:pt>
                <c:pt idx="170">
                  <c:v>114870</c:v>
                </c:pt>
                <c:pt idx="171">
                  <c:v>114870</c:v>
                </c:pt>
                <c:pt idx="172">
                  <c:v>114890</c:v>
                </c:pt>
                <c:pt idx="173">
                  <c:v>114890</c:v>
                </c:pt>
                <c:pt idx="174">
                  <c:v>115440</c:v>
                </c:pt>
                <c:pt idx="175">
                  <c:v>115440</c:v>
                </c:pt>
                <c:pt idx="176">
                  <c:v>115920</c:v>
                </c:pt>
                <c:pt idx="177">
                  <c:v>115920</c:v>
                </c:pt>
                <c:pt idx="178">
                  <c:v>118100</c:v>
                </c:pt>
                <c:pt idx="179">
                  <c:v>118100</c:v>
                </c:pt>
                <c:pt idx="180">
                  <c:v>118840</c:v>
                </c:pt>
                <c:pt idx="181">
                  <c:v>118840</c:v>
                </c:pt>
                <c:pt idx="182">
                  <c:v>119110</c:v>
                </c:pt>
                <c:pt idx="183">
                  <c:v>119110</c:v>
                </c:pt>
              </c:numCache>
            </c:numRef>
          </c:xVal>
          <c:yVal>
            <c:numRef>
              <c:f>'all Staff'!$M$2:$M$185</c:f>
              <c:numCache>
                <c:formatCode>0.0</c:formatCode>
                <c:ptCount val="184"/>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1</c:v>
                </c:pt>
                <c:pt idx="15">
                  <c:v>1</c:v>
                </c:pt>
                <c:pt idx="16">
                  <c:v>4</c:v>
                </c:pt>
                <c:pt idx="17">
                  <c:v>4</c:v>
                </c:pt>
                <c:pt idx="18">
                  <c:v>3</c:v>
                </c:pt>
                <c:pt idx="19">
                  <c:v>3</c:v>
                </c:pt>
                <c:pt idx="20">
                  <c:v>3</c:v>
                </c:pt>
                <c:pt idx="21">
                  <c:v>3</c:v>
                </c:pt>
                <c:pt idx="22">
                  <c:v>4</c:v>
                </c:pt>
                <c:pt idx="23">
                  <c:v>4</c:v>
                </c:pt>
                <c:pt idx="24">
                  <c:v>4</c:v>
                </c:pt>
                <c:pt idx="25">
                  <c:v>4</c:v>
                </c:pt>
                <c:pt idx="26">
                  <c:v>3</c:v>
                </c:pt>
                <c:pt idx="27">
                  <c:v>3</c:v>
                </c:pt>
                <c:pt idx="28">
                  <c:v>3</c:v>
                </c:pt>
                <c:pt idx="29">
                  <c:v>3</c:v>
                </c:pt>
                <c:pt idx="30">
                  <c:v>2</c:v>
                </c:pt>
                <c:pt idx="31">
                  <c:v>2</c:v>
                </c:pt>
                <c:pt idx="32">
                  <c:v>2</c:v>
                </c:pt>
                <c:pt idx="33">
                  <c:v>2</c:v>
                </c:pt>
                <c:pt idx="34">
                  <c:v>3</c:v>
                </c:pt>
                <c:pt idx="35">
                  <c:v>3</c:v>
                </c:pt>
                <c:pt idx="36">
                  <c:v>3</c:v>
                </c:pt>
                <c:pt idx="37">
                  <c:v>3</c:v>
                </c:pt>
                <c:pt idx="38">
                  <c:v>3</c:v>
                </c:pt>
                <c:pt idx="39">
                  <c:v>3</c:v>
                </c:pt>
                <c:pt idx="40">
                  <c:v>3</c:v>
                </c:pt>
                <c:pt idx="41">
                  <c:v>3</c:v>
                </c:pt>
                <c:pt idx="42">
                  <c:v>3</c:v>
                </c:pt>
                <c:pt idx="43">
                  <c:v>3</c:v>
                </c:pt>
                <c:pt idx="44">
                  <c:v>4</c:v>
                </c:pt>
                <c:pt idx="45">
                  <c:v>4</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2</c:v>
                </c:pt>
                <c:pt idx="71">
                  <c:v>2</c:v>
                </c:pt>
                <c:pt idx="72">
                  <c:v>3</c:v>
                </c:pt>
                <c:pt idx="73">
                  <c:v>3</c:v>
                </c:pt>
                <c:pt idx="74">
                  <c:v>2</c:v>
                </c:pt>
                <c:pt idx="75">
                  <c:v>2</c:v>
                </c:pt>
                <c:pt idx="76">
                  <c:v>3</c:v>
                </c:pt>
                <c:pt idx="77">
                  <c:v>3</c:v>
                </c:pt>
                <c:pt idx="78">
                  <c:v>3</c:v>
                </c:pt>
                <c:pt idx="79">
                  <c:v>3</c:v>
                </c:pt>
                <c:pt idx="80">
                  <c:v>3</c:v>
                </c:pt>
                <c:pt idx="81">
                  <c:v>3</c:v>
                </c:pt>
                <c:pt idx="82">
                  <c:v>2</c:v>
                </c:pt>
                <c:pt idx="83">
                  <c:v>2</c:v>
                </c:pt>
                <c:pt idx="84">
                  <c:v>3</c:v>
                </c:pt>
                <c:pt idx="85">
                  <c:v>3</c:v>
                </c:pt>
                <c:pt idx="86">
                  <c:v>3</c:v>
                </c:pt>
                <c:pt idx="87">
                  <c:v>3</c:v>
                </c:pt>
                <c:pt idx="88">
                  <c:v>3</c:v>
                </c:pt>
                <c:pt idx="89">
                  <c:v>3</c:v>
                </c:pt>
                <c:pt idx="90">
                  <c:v>5</c:v>
                </c:pt>
                <c:pt idx="91">
                  <c:v>5</c:v>
                </c:pt>
                <c:pt idx="92">
                  <c:v>3</c:v>
                </c:pt>
                <c:pt idx="93">
                  <c:v>3</c:v>
                </c:pt>
                <c:pt idx="94">
                  <c:v>1</c:v>
                </c:pt>
                <c:pt idx="95">
                  <c:v>1</c:v>
                </c:pt>
                <c:pt idx="96">
                  <c:v>3</c:v>
                </c:pt>
                <c:pt idx="97">
                  <c:v>3</c:v>
                </c:pt>
                <c:pt idx="98">
                  <c:v>3</c:v>
                </c:pt>
                <c:pt idx="99">
                  <c:v>3</c:v>
                </c:pt>
                <c:pt idx="100">
                  <c:v>4</c:v>
                </c:pt>
                <c:pt idx="101">
                  <c:v>4</c:v>
                </c:pt>
                <c:pt idx="102">
                  <c:v>3</c:v>
                </c:pt>
                <c:pt idx="103">
                  <c:v>3</c:v>
                </c:pt>
                <c:pt idx="104">
                  <c:v>3</c:v>
                </c:pt>
                <c:pt idx="105">
                  <c:v>3</c:v>
                </c:pt>
                <c:pt idx="106">
                  <c:v>3</c:v>
                </c:pt>
                <c:pt idx="107">
                  <c:v>3</c:v>
                </c:pt>
                <c:pt idx="108">
                  <c:v>4</c:v>
                </c:pt>
                <c:pt idx="109">
                  <c:v>4</c:v>
                </c:pt>
                <c:pt idx="110">
                  <c:v>3</c:v>
                </c:pt>
                <c:pt idx="111">
                  <c:v>3</c:v>
                </c:pt>
                <c:pt idx="112">
                  <c:v>3</c:v>
                </c:pt>
                <c:pt idx="113">
                  <c:v>3</c:v>
                </c:pt>
                <c:pt idx="114">
                  <c:v>3</c:v>
                </c:pt>
                <c:pt idx="115">
                  <c:v>3</c:v>
                </c:pt>
                <c:pt idx="116">
                  <c:v>3</c:v>
                </c:pt>
                <c:pt idx="117">
                  <c:v>3</c:v>
                </c:pt>
                <c:pt idx="118">
                  <c:v>2</c:v>
                </c:pt>
                <c:pt idx="119">
                  <c:v>2</c:v>
                </c:pt>
                <c:pt idx="120">
                  <c:v>4</c:v>
                </c:pt>
                <c:pt idx="121">
                  <c:v>4</c:v>
                </c:pt>
                <c:pt idx="122">
                  <c:v>3</c:v>
                </c:pt>
                <c:pt idx="123">
                  <c:v>3</c:v>
                </c:pt>
                <c:pt idx="124">
                  <c:v>4</c:v>
                </c:pt>
                <c:pt idx="125">
                  <c:v>4</c:v>
                </c:pt>
                <c:pt idx="126">
                  <c:v>3</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5</c:v>
                </c:pt>
                <c:pt idx="153">
                  <c:v>5</c:v>
                </c:pt>
                <c:pt idx="154">
                  <c:v>4</c:v>
                </c:pt>
                <c:pt idx="155">
                  <c:v>4</c:v>
                </c:pt>
                <c:pt idx="156">
                  <c:v>2</c:v>
                </c:pt>
                <c:pt idx="157">
                  <c:v>2</c:v>
                </c:pt>
                <c:pt idx="158">
                  <c:v>3</c:v>
                </c:pt>
                <c:pt idx="159">
                  <c:v>3</c:v>
                </c:pt>
                <c:pt idx="160">
                  <c:v>3</c:v>
                </c:pt>
                <c:pt idx="161">
                  <c:v>3</c:v>
                </c:pt>
                <c:pt idx="162">
                  <c:v>3</c:v>
                </c:pt>
                <c:pt idx="163">
                  <c:v>3</c:v>
                </c:pt>
                <c:pt idx="164">
                  <c:v>4</c:v>
                </c:pt>
                <c:pt idx="165">
                  <c:v>4</c:v>
                </c:pt>
                <c:pt idx="166">
                  <c:v>1</c:v>
                </c:pt>
                <c:pt idx="167">
                  <c:v>1</c:v>
                </c:pt>
                <c:pt idx="168">
                  <c:v>3</c:v>
                </c:pt>
                <c:pt idx="169">
                  <c:v>3</c:v>
                </c:pt>
                <c:pt idx="170">
                  <c:v>3</c:v>
                </c:pt>
                <c:pt idx="171">
                  <c:v>3</c:v>
                </c:pt>
                <c:pt idx="172">
                  <c:v>3</c:v>
                </c:pt>
                <c:pt idx="173">
                  <c:v>3</c:v>
                </c:pt>
                <c:pt idx="174">
                  <c:v>2</c:v>
                </c:pt>
                <c:pt idx="175">
                  <c:v>2</c:v>
                </c:pt>
                <c:pt idx="176">
                  <c:v>3</c:v>
                </c:pt>
                <c:pt idx="177">
                  <c:v>3</c:v>
                </c:pt>
                <c:pt idx="178">
                  <c:v>3</c:v>
                </c:pt>
                <c:pt idx="179">
                  <c:v>3</c:v>
                </c:pt>
                <c:pt idx="180">
                  <c:v>3</c:v>
                </c:pt>
                <c:pt idx="181">
                  <c:v>3</c:v>
                </c:pt>
                <c:pt idx="182">
                  <c:v>3</c:v>
                </c:pt>
                <c:pt idx="183">
                  <c:v>3</c:v>
                </c:pt>
              </c:numCache>
            </c:numRef>
          </c:yVal>
          <c:smooth val="0"/>
          <c:extLst>
            <c:ext xmlns:c16="http://schemas.microsoft.com/office/drawing/2014/chart" uri="{C3380CC4-5D6E-409C-BE32-E72D297353CC}">
              <c16:uniqueId val="{00000000-8116-4AA0-BAD2-019D707291C8}"/>
            </c:ext>
          </c:extLst>
        </c:ser>
        <c:dLbls>
          <c:showLegendKey val="0"/>
          <c:showVal val="0"/>
          <c:showCatName val="0"/>
          <c:showSerName val="0"/>
          <c:showPercent val="0"/>
          <c:showBubbleSize val="0"/>
        </c:dLbls>
        <c:axId val="461650144"/>
        <c:axId val="461656864"/>
      </c:scatterChart>
      <c:valAx>
        <c:axId val="46165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656864"/>
        <c:crosses val="autoZero"/>
        <c:crossBetween val="midCat"/>
      </c:valAx>
      <c:valAx>
        <c:axId val="4616568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6501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 (1).xlsx]employee trend!PivotTable4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trend'!$C$4</c:f>
              <c:strCache>
                <c:ptCount val="1"/>
                <c:pt idx="0">
                  <c:v>Total</c:v>
                </c:pt>
              </c:strCache>
            </c:strRef>
          </c:tx>
          <c:spPr>
            <a:ln w="28575" cap="rnd">
              <a:solidFill>
                <a:schemeClr val="accent1"/>
              </a:solidFill>
              <a:round/>
            </a:ln>
            <a:effectLst/>
          </c:spPr>
          <c:marker>
            <c:symbol val="none"/>
          </c:marker>
          <c:cat>
            <c:strRef>
              <c:f>'employee trend'!$B$5:$B$9</c:f>
              <c:strCache>
                <c:ptCount val="4"/>
                <c:pt idx="0">
                  <c:v>2020</c:v>
                </c:pt>
                <c:pt idx="1">
                  <c:v>2021</c:v>
                </c:pt>
                <c:pt idx="2">
                  <c:v>2022</c:v>
                </c:pt>
                <c:pt idx="3">
                  <c:v>2023</c:v>
                </c:pt>
              </c:strCache>
            </c:strRef>
          </c:cat>
          <c:val>
            <c:numRef>
              <c:f>'employee trend'!$C$5:$C$9</c:f>
              <c:numCache>
                <c:formatCode>General</c:formatCode>
                <c:ptCount val="4"/>
                <c:pt idx="0">
                  <c:v>37</c:v>
                </c:pt>
                <c:pt idx="1">
                  <c:v>82</c:v>
                </c:pt>
                <c:pt idx="2">
                  <c:v>63</c:v>
                </c:pt>
                <c:pt idx="3">
                  <c:v>2</c:v>
                </c:pt>
              </c:numCache>
            </c:numRef>
          </c:val>
          <c:smooth val="0"/>
          <c:extLst>
            <c:ext xmlns:c16="http://schemas.microsoft.com/office/drawing/2014/chart" uri="{C3380CC4-5D6E-409C-BE32-E72D297353CC}">
              <c16:uniqueId val="{00000000-727D-4D7F-9D35-5627524403BC}"/>
            </c:ext>
          </c:extLst>
        </c:ser>
        <c:dLbls>
          <c:showLegendKey val="0"/>
          <c:showVal val="0"/>
          <c:showCatName val="0"/>
          <c:showSerName val="0"/>
          <c:showPercent val="0"/>
          <c:showBubbleSize val="0"/>
        </c:dLbls>
        <c:smooth val="0"/>
        <c:axId val="1701855632"/>
        <c:axId val="1701858512"/>
      </c:lineChart>
      <c:catAx>
        <c:axId val="170185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58512"/>
        <c:crosses val="autoZero"/>
        <c:auto val="1"/>
        <c:lblAlgn val="ctr"/>
        <c:lblOffset val="100"/>
        <c:noMultiLvlLbl val="0"/>
      </c:catAx>
      <c:valAx>
        <c:axId val="170185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5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 (1).xlsx]NZ vs India!PivotTable5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'NZ vs India'!$C$3</c:f>
              <c:strCache>
                <c:ptCount val="1"/>
                <c:pt idx="0">
                  <c:v>Total</c:v>
                </c:pt>
              </c:strCache>
            </c:strRef>
          </c:tx>
          <c:spPr>
            <a:solidFill>
              <a:schemeClr val="accent2">
                <a:lumMod val="75000"/>
              </a:schemeClr>
            </a:solidFill>
            <a:ln>
              <a:noFill/>
            </a:ln>
            <a:effectLst/>
          </c:spPr>
          <c:invertIfNegative val="0"/>
          <c:cat>
            <c:strRef>
              <c:f>'NZ vs India'!$B$4:$B$9</c:f>
              <c:strCache>
                <c:ptCount val="5"/>
                <c:pt idx="0">
                  <c:v>Procurement</c:v>
                </c:pt>
                <c:pt idx="1">
                  <c:v>Website</c:v>
                </c:pt>
                <c:pt idx="2">
                  <c:v>Finance</c:v>
                </c:pt>
                <c:pt idx="3">
                  <c:v>Sales</c:v>
                </c:pt>
                <c:pt idx="4">
                  <c:v>HR</c:v>
                </c:pt>
              </c:strCache>
            </c:strRef>
          </c:cat>
          <c:val>
            <c:numRef>
              <c:f>'NZ vs India'!$C$4:$C$9</c:f>
              <c:numCache>
                <c:formatCode>General</c:formatCode>
                <c:ptCount val="5"/>
                <c:pt idx="0">
                  <c:v>56</c:v>
                </c:pt>
                <c:pt idx="1">
                  <c:v>54</c:v>
                </c:pt>
                <c:pt idx="2">
                  <c:v>38</c:v>
                </c:pt>
                <c:pt idx="3">
                  <c:v>28</c:v>
                </c:pt>
                <c:pt idx="4">
                  <c:v>8</c:v>
                </c:pt>
              </c:numCache>
            </c:numRef>
          </c:val>
          <c:extLst>
            <c:ext xmlns:c16="http://schemas.microsoft.com/office/drawing/2014/chart" uri="{C3380CC4-5D6E-409C-BE32-E72D297353CC}">
              <c16:uniqueId val="{00000000-D1F1-4A69-A4BB-3C0E98522E7B}"/>
            </c:ext>
          </c:extLst>
        </c:ser>
        <c:dLbls>
          <c:showLegendKey val="0"/>
          <c:showVal val="0"/>
          <c:showCatName val="0"/>
          <c:showSerName val="0"/>
          <c:showPercent val="0"/>
          <c:showBubbleSize val="0"/>
        </c:dLbls>
        <c:gapWidth val="182"/>
        <c:axId val="725135008"/>
        <c:axId val="725127328"/>
      </c:barChart>
      <c:catAx>
        <c:axId val="7251350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27328"/>
        <c:crosses val="autoZero"/>
        <c:auto val="1"/>
        <c:lblAlgn val="ctr"/>
        <c:lblOffset val="100"/>
        <c:noMultiLvlLbl val="0"/>
      </c:catAx>
      <c:valAx>
        <c:axId val="725127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35008"/>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 (1).xlsx]NZ vs India!PivotTable5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'NZ vs India'!$C$3</c:f>
              <c:strCache>
                <c:ptCount val="1"/>
                <c:pt idx="0">
                  <c:v>Total</c:v>
                </c:pt>
              </c:strCache>
            </c:strRef>
          </c:tx>
          <c:spPr>
            <a:solidFill>
              <a:schemeClr val="accent1"/>
            </a:solidFill>
            <a:ln>
              <a:noFill/>
            </a:ln>
            <a:effectLst/>
          </c:spPr>
          <c:invertIfNegative val="0"/>
          <c:cat>
            <c:strRef>
              <c:f>'NZ vs India'!$B$4:$B$9</c:f>
              <c:strCache>
                <c:ptCount val="5"/>
                <c:pt idx="0">
                  <c:v>Procurement</c:v>
                </c:pt>
                <c:pt idx="1">
                  <c:v>Website</c:v>
                </c:pt>
                <c:pt idx="2">
                  <c:v>Finance</c:v>
                </c:pt>
                <c:pt idx="3">
                  <c:v>Sales</c:v>
                </c:pt>
                <c:pt idx="4">
                  <c:v>HR</c:v>
                </c:pt>
              </c:strCache>
            </c:strRef>
          </c:cat>
          <c:val>
            <c:numRef>
              <c:f>'NZ vs India'!$C$4:$C$9</c:f>
              <c:numCache>
                <c:formatCode>General</c:formatCode>
                <c:ptCount val="5"/>
                <c:pt idx="0">
                  <c:v>56</c:v>
                </c:pt>
                <c:pt idx="1">
                  <c:v>54</c:v>
                </c:pt>
                <c:pt idx="2">
                  <c:v>38</c:v>
                </c:pt>
                <c:pt idx="3">
                  <c:v>28</c:v>
                </c:pt>
                <c:pt idx="4">
                  <c:v>8</c:v>
                </c:pt>
              </c:numCache>
            </c:numRef>
          </c:val>
          <c:extLst>
            <c:ext xmlns:c16="http://schemas.microsoft.com/office/drawing/2014/chart" uri="{C3380CC4-5D6E-409C-BE32-E72D297353CC}">
              <c16:uniqueId val="{00000000-CF98-429C-A1A3-C52DC9A83FD1}"/>
            </c:ext>
          </c:extLst>
        </c:ser>
        <c:dLbls>
          <c:showLegendKey val="0"/>
          <c:showVal val="0"/>
          <c:showCatName val="0"/>
          <c:showSerName val="0"/>
          <c:showPercent val="0"/>
          <c:showBubbleSize val="0"/>
        </c:dLbls>
        <c:gapWidth val="182"/>
        <c:axId val="725135008"/>
        <c:axId val="725127328"/>
      </c:barChart>
      <c:catAx>
        <c:axId val="7251350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27328"/>
        <c:crosses val="autoZero"/>
        <c:auto val="1"/>
        <c:lblAlgn val="ctr"/>
        <c:lblOffset val="100"/>
        <c:noMultiLvlLbl val="0"/>
      </c:catAx>
      <c:valAx>
        <c:axId val="725127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35008"/>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Salary Spread by 10K</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by 10K</a:t>
          </a:r>
        </a:p>
      </cx:txPr>
    </cx:title>
    <cx:plotArea>
      <cx:plotAreaRegion>
        <cx:series layoutId="clusteredColumn" uniqueId="{01BB9691-7F32-4ED9-A6A2-7E646A59C5DA}">
          <cx:dataId val="0"/>
          <cx:layoutPr>
            <cx:binning intervalClosed="r" underflow="400000">
              <cx:binSize val="10000"/>
            </cx:binning>
          </cx:layoutPr>
        </cx:series>
      </cx:plotAreaRegion>
      <cx:axis id="0">
        <cx:catScaling gapWidth="0"/>
        <cx:tickLabels/>
        <cx:spPr>
          <a:effectLst>
            <a:softEdge rad="88900"/>
          </a:effectLst>
        </cx:spPr>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Chart Title</cx:v>
        </cx:txData>
      </cx:tx>
    </cx:title>
    <cx:plotArea>
      <cx:plotAreaRegion>
        <cx:series layoutId="boxWhisker" uniqueId="{CB583429-4FEF-4223-BFCD-00717FBD35B8}">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171450</xdr:rowOff>
    </xdr:from>
    <xdr:to>
      <xdr:col>11</xdr:col>
      <xdr:colOff>304800</xdr:colOff>
      <xdr:row>16</xdr:row>
      <xdr:rowOff>57150</xdr:rowOff>
    </xdr:to>
    <xdr:graphicFrame macro="">
      <xdr:nvGraphicFramePr>
        <xdr:cNvPr id="2" name="Chart 1">
          <a:extLst>
            <a:ext uri="{FF2B5EF4-FFF2-40B4-BE49-F238E27FC236}">
              <a16:creationId xmlns:a16="http://schemas.microsoft.com/office/drawing/2014/main" id="{184BD105-048E-4B11-A7F2-478E2A1F4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23812</xdr:colOff>
      <xdr:row>2</xdr:row>
      <xdr:rowOff>176212</xdr:rowOff>
    </xdr:from>
    <xdr:to>
      <xdr:col>11</xdr:col>
      <xdr:colOff>128587</xdr:colOff>
      <xdr:row>17</xdr:row>
      <xdr:rowOff>61912</xdr:rowOff>
    </xdr:to>
    <xdr:graphicFrame macro="">
      <xdr:nvGraphicFramePr>
        <xdr:cNvPr id="2" name="Chart 1">
          <a:extLst>
            <a:ext uri="{FF2B5EF4-FFF2-40B4-BE49-F238E27FC236}">
              <a16:creationId xmlns:a16="http://schemas.microsoft.com/office/drawing/2014/main" id="{73AB0E78-5DDB-7172-8D13-20F787ABE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17</xdr:row>
      <xdr:rowOff>104775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AA92164-65B4-4CD6-91B4-12C53CF9E3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5943600" cy="3343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19050</xdr:colOff>
      <xdr:row>0</xdr:row>
      <xdr:rowOff>19050</xdr:rowOff>
    </xdr:from>
    <xdr:to>
      <xdr:col>15</xdr:col>
      <xdr:colOff>438150</xdr:colOff>
      <xdr:row>18</xdr:row>
      <xdr:rowOff>9524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71BCE32-7845-45F5-9644-A93741D0E7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15050" y="19050"/>
              <a:ext cx="3467100" cy="34194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xdr:colOff>
      <xdr:row>2</xdr:row>
      <xdr:rowOff>9525</xdr:rowOff>
    </xdr:from>
    <xdr:to>
      <xdr:col>5</xdr:col>
      <xdr:colOff>542925</xdr:colOff>
      <xdr:row>6</xdr:row>
      <xdr:rowOff>171450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070CB752-9D10-4773-2B26-E2313E9EB28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590925" y="390525"/>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7</xdr:row>
      <xdr:rowOff>0</xdr:rowOff>
    </xdr:from>
    <xdr:to>
      <xdr:col>13</xdr:col>
      <xdr:colOff>19050</xdr:colOff>
      <xdr:row>21</xdr:row>
      <xdr:rowOff>76200</xdr:rowOff>
    </xdr:to>
    <xdr:graphicFrame macro="">
      <xdr:nvGraphicFramePr>
        <xdr:cNvPr id="2" name="Chart 1">
          <a:extLst>
            <a:ext uri="{FF2B5EF4-FFF2-40B4-BE49-F238E27FC236}">
              <a16:creationId xmlns:a16="http://schemas.microsoft.com/office/drawing/2014/main" id="{F86CC49C-0BF4-4EFC-8110-6FEBB4304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7</xdr:row>
      <xdr:rowOff>0</xdr:rowOff>
    </xdr:from>
    <xdr:to>
      <xdr:col>5</xdr:col>
      <xdr:colOff>1171575</xdr:colOff>
      <xdr:row>21</xdr:row>
      <xdr:rowOff>76200</xdr:rowOff>
    </xdr:to>
    <xdr:graphicFrame macro="">
      <xdr:nvGraphicFramePr>
        <xdr:cNvPr id="4" name="Chart 3">
          <a:extLst>
            <a:ext uri="{FF2B5EF4-FFF2-40B4-BE49-F238E27FC236}">
              <a16:creationId xmlns:a16="http://schemas.microsoft.com/office/drawing/2014/main" id="{FBAEB98E-DE9E-44D2-B785-E7AA38ADC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5585.201610069445" backgroundQuery="1" createdVersion="8" refreshedVersion="8" minRefreshableVersion="3" recordCount="0" supportSubquery="1" supportAdvancedDrill="1" xr:uid="{551F0F7C-7636-45B0-A5A8-FCD9E90B80E1}">
  <cacheSource type="external" connectionId="4"/>
  <cacheFields count="3">
    <cacheField name="[All_Staff].[Rating].[Rating]" caption="Rating" numFmtId="0" hierarchy="6" level="1">
      <sharedItems count="5">
        <s v="Above average"/>
        <s v="Average"/>
        <s v="Exceptional"/>
        <s v="Poor"/>
        <s v="Very poor"/>
      </sharedItems>
    </cacheField>
    <cacheField name="[Measures].[Count of Name]" caption="Count of Name" numFmtId="0" hierarchy="20" level="32767"/>
    <cacheField name="[Measures].[Average of Salary]" caption="Average of Salary" numFmtId="0" hierarchy="22" level="32767"/>
  </cacheFields>
  <cacheHierarchies count="25">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Salary]" caption="Salary" attribute="1" defaultMemberUniqueName="[All_Staff].[Salary].[All]" allUniqueName="[All_Staff].[Salary].[All]" dimensionUniqueName="[All_Staff]" displayFolder="" count="0" memberValueDatatype="20" unbalanced="0"/>
    <cacheHierarchy uniqueName="[All_Staff].[Rating]" caption="Rating" attribute="1" defaultMemberUniqueName="[All_Staff].[Rating].[All]" allUniqueName="[All_Staff].[Rating].[All]" dimensionUniqueName="[All_Staff]" displayFolder="" count="2" memberValueDatatype="130" unbalanced="0">
      <fieldsUsage count="2">
        <fieldUsage x="-1"/>
        <fieldUsage x="0"/>
      </fieldsUsage>
    </cacheHierarchy>
    <cacheHierarchy uniqueName="[All_Staff].[Country]" caption="Country" attribute="1" defaultMemberUniqueName="[All_Staff].[Country].[All]" allUniqueName="[All_Staff].[Country].[All]" dimensionUniqueName="[All_Staff]" displayFolder="" count="0" memberValueDatatype="130" unbalanced="0"/>
    <cacheHierarchy uniqueName="[All_Staff].[current date]" caption="current date" attribute="1" time="1" defaultMemberUniqueName="[All_Staff].[current date].[All]" allUniqueName="[All_Staff].[current date].[All]" dimensionUniqueName="[All_Staff]" displayFolder="" count="0" memberValueDatatype="7" unbalanced="0"/>
    <cacheHierarchy uniqueName="[All_Staff].[tunure]" caption="tunure" attribute="1" defaultMemberUniqueName="[All_Staff].[tunure].[All]" allUniqueName="[All_Staff].[tunure].[All]" dimensionUniqueName="[All_Staff]" displayFolder="" count="0" memberValueDatatype="20" unbalanced="0"/>
    <cacheHierarchy uniqueName="[All_Staff].[tunure in year]" caption="tunure in year" attribute="1" defaultMemberUniqueName="[All_Staff].[tunure in year].[All]" allUniqueName="[All_Staff].[tunure in year].[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Gender]" caption="Count of Gender" measure="1" displayFolder="" measureGroup="All_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All_Staff"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Date Joined]" caption="Count of Date Joined" measure="1" displayFolder="" measureGroup="All_Staff"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All_Staff" count="0" hidden="1">
      <extLst>
        <ext xmlns:x15="http://schemas.microsoft.com/office/spreadsheetml/2010/11/main" uri="{B97F6D7D-B522-45F9-BDA1-12C45D357490}">
          <x15:cacheHierarchy aggregatedColumn="7"/>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5585.201845717595" backgroundQuery="1" createdVersion="8" refreshedVersion="8" minRefreshableVersion="3" recordCount="0" supportSubquery="1" supportAdvancedDrill="1" xr:uid="{A209DFFB-18CF-40FC-920E-9C3DAE984901}">
  <cacheSource type="external" connectionId="4"/>
  <cacheFields count="5">
    <cacheField name="[Measures].[Count of Name]" caption="Count of Name" numFmtId="0" hierarchy="20" level="32767"/>
    <cacheField name="[All_Staff].[Date Joined].[Date Joined]" caption="Date Joined" numFmtId="0" hierarchy="4" level="1">
      <sharedItems containsSemiMixedTypes="0" containsNonDate="0" containsDate="1" containsString="0" minDate="2020-05-07T00:00:00" maxDate="2023-04-30T00:00:00" count="161">
        <d v="2020-05-07T00:00:00"/>
        <d v="2020-05-11T00:00:00"/>
        <d v="2020-05-29T00:00:00"/>
        <d v="2020-06-24T00:00:00"/>
        <d v="2020-07-07T00:00:00"/>
        <d v="2020-07-11T00:00:00"/>
        <d v="2020-07-29T00:00:00"/>
        <d v="2020-07-30T00:00:00"/>
        <d v="2020-08-18T00:00:00"/>
        <d v="2020-08-24T00:00:00"/>
        <d v="2020-08-30T00:00:00"/>
        <d v="2020-09-10T00:00:00"/>
        <d v="2020-09-11T00:00:00"/>
        <d v="2020-09-13T00:00:00"/>
        <d v="2020-09-29T00:00:00"/>
        <d v="2020-09-30T00:00:00"/>
        <d v="2020-10-15T00:00:00"/>
        <d v="2020-10-18T00:00:00"/>
        <d v="2020-10-20T00:00:00"/>
        <d v="2020-10-25T00:00:00"/>
        <d v="2020-10-30T00:00:00"/>
        <d v="2020-11-09T00:00:00"/>
        <d v="2020-11-10T00:00:00"/>
        <d v="2020-11-11T00:00:00"/>
        <d v="2020-11-13T00:00:00"/>
        <d v="2020-11-29T00:00:00"/>
        <d v="2020-12-09T00:00:00"/>
        <d v="2020-12-15T00:00:00"/>
        <d v="2020-12-16T00:00:00"/>
        <d v="2020-12-18T00:00:00"/>
        <d v="2020-12-20T00:00:00"/>
        <d v="2020-12-25T00:00:00"/>
        <d v="2021-01-08T00:00:00"/>
        <d v="2021-01-09T00:00:00"/>
        <d v="2021-01-16T00:00:00"/>
        <d v="2021-01-18T00:00:00"/>
        <d v="2021-01-22T00:00:00"/>
        <d v="2021-01-29T00:00:00"/>
        <d v="2021-02-09T00:00:00"/>
        <d v="2021-02-15T00:00:00"/>
        <d v="2021-02-16T00:00:00"/>
        <d v="2021-02-26T00:00:00"/>
        <d v="2021-03-01T00:00:00"/>
        <d v="2021-03-08T00:00:00"/>
        <d v="2021-03-13T00:00:00"/>
        <d v="2021-03-16T00:00:00"/>
        <d v="2021-03-17T00:00:00"/>
        <d v="2021-03-18T00:00:00"/>
        <d v="2021-03-21T00:00:00"/>
        <d v="2021-03-22T00:00:00"/>
        <d v="2021-04-07T00:00:00"/>
        <d v="2021-04-10T00:00:00"/>
        <d v="2021-04-26T00:00:00"/>
        <d v="2021-04-27T00:00:00"/>
        <d v="2021-04-30T00:00:00"/>
        <d v="2021-05-01T00:00:00"/>
        <d v="2021-05-04T00:00:00"/>
        <d v="2021-05-06T00:00:00"/>
        <d v="2021-05-08T00:00:00"/>
        <d v="2021-05-12T00:00:00"/>
        <d v="2021-05-13T00:00:00"/>
        <d v="2021-05-17T00:00:00"/>
        <d v="2021-05-21T00:00:00"/>
        <d v="2021-05-22T00:00:00"/>
        <d v="2021-05-23T00:00:00"/>
        <d v="2021-06-03T00:00:00"/>
        <d v="2021-06-07T00:00:00"/>
        <d v="2021-06-10T00:00:00"/>
        <d v="2021-06-27T00:00:00"/>
        <d v="2021-06-28T00:00:00"/>
        <d v="2021-06-30T00:00:00"/>
        <d v="2021-07-01T00:00:00"/>
        <d v="2021-07-04T00:00:00"/>
        <d v="2021-07-06T00:00:00"/>
        <d v="2021-07-07T00:00:00"/>
        <d v="2021-07-08T00:00:00"/>
        <d v="2021-07-11T00:00:00"/>
        <d v="2021-07-12T00:00:00"/>
        <d v="2021-07-20T00:00:00"/>
        <d v="2021-07-23T00:00:00"/>
        <d v="2021-07-26T00:00:00"/>
        <d v="2021-08-03T00:00:00"/>
        <d v="2021-08-17T00:00:00"/>
        <d v="2021-08-25T00:00:00"/>
        <d v="2021-08-28T00:00:00"/>
        <d v="2021-09-01T00:00:00"/>
        <d v="2021-09-06T00:00:00"/>
        <d v="2021-09-07T00:00:00"/>
        <d v="2021-09-09T00:00:00"/>
        <d v="2021-09-11T00:00:00"/>
        <d v="2021-09-12T00:00:00"/>
        <d v="2021-09-20T00:00:00"/>
        <d v="2021-09-26T00:00:00"/>
        <d v="2021-09-29T00:00:00"/>
        <d v="2021-10-07T00:00:00"/>
        <d v="2021-10-17T00:00:00"/>
        <d v="2021-10-25T00:00:00"/>
        <d v="2021-11-06T00:00:00"/>
        <d v="2021-11-09T00:00:00"/>
        <d v="2021-11-11T00:00:00"/>
        <d v="2021-11-29T00:00:00"/>
        <d v="2021-12-05T00:00:00"/>
        <d v="2021-12-07T00:00:00"/>
        <d v="2021-12-14T00:00:00"/>
        <d v="2021-12-17T00:00:00"/>
        <d v="2021-12-19T00:00:00"/>
        <d v="2021-12-20T00:00:00"/>
        <d v="2021-12-28T00:00:00"/>
        <d v="2022-01-06T00:00:00"/>
        <d v="2022-01-10T00:00:00"/>
        <d v="2022-01-29T00:00:00"/>
        <d v="2022-02-02T00:00:00"/>
        <d v="2022-02-05T00:00:00"/>
        <d v="2022-02-12T00:00:00"/>
        <d v="2022-02-14T00:00:00"/>
        <d v="2022-02-15T00:00:00"/>
        <d v="2022-02-17T00:00:00"/>
        <d v="2022-02-19T00:00:00"/>
        <d v="2022-02-20T00:00:00"/>
        <d v="2022-02-27T00:00:00"/>
        <d v="2022-02-28T00:00:00"/>
        <d v="2022-03-05T00:00:00"/>
        <d v="2022-03-10T00:00:00"/>
        <d v="2022-03-13T00:00:00"/>
        <d v="2022-03-20T00:00:00"/>
        <d v="2022-03-22T00:00:00"/>
        <d v="2022-03-29T00:00:00"/>
        <d v="2022-04-02T00:00:00"/>
        <d v="2022-04-09T00:00:00"/>
        <d v="2022-04-12T00:00:00"/>
        <d v="2022-04-14T00:00:00"/>
        <d v="2022-04-15T00:00:00"/>
        <d v="2022-04-19T00:00:00"/>
        <d v="2022-04-27T00:00:00"/>
        <d v="2022-05-02T00:00:00"/>
        <d v="2022-05-05T00:00:00"/>
        <d v="2022-05-13T00:00:00"/>
        <d v="2022-05-16T00:00:00"/>
        <d v="2022-05-20T00:00:00"/>
        <d v="2022-05-22T00:00:00"/>
        <d v="2022-06-01T00:00:00"/>
        <d v="2022-06-06T00:00:00"/>
        <d v="2022-06-09T00:00:00"/>
        <d v="2022-06-12T00:00:00"/>
        <d v="2022-06-14T00:00:00"/>
        <d v="2022-06-15T00:00:00"/>
        <d v="2022-06-19T00:00:00"/>
        <d v="2022-07-02T00:00:00"/>
        <d v="2022-07-05T00:00:00"/>
        <d v="2022-07-16T00:00:00"/>
        <d v="2022-07-20T00:00:00"/>
        <d v="2022-08-01T00:00:00"/>
        <d v="2022-08-06T00:00:00"/>
        <d v="2022-08-16T00:00:00"/>
        <d v="2022-08-27T00:00:00"/>
        <d v="2022-09-05T00:00:00"/>
        <d v="2022-09-16T00:00:00"/>
        <d v="2022-10-16T00:00:00"/>
        <d v="2022-10-27T00:00:00"/>
        <d v="2023-02-28T00:00:00"/>
        <d v="2023-04-29T00:00:00"/>
      </sharedItems>
    </cacheField>
    <cacheField name="[All_Staff].[Date Joined (Month)].[Date Joined (Month)]" caption="Date Joined (Month)" numFmtId="0" hierarchy="13" level="1">
      <sharedItems count="2">
        <s v="Feb"/>
        <s v="Apr"/>
      </sharedItems>
    </cacheField>
    <cacheField name="[All_Staff].[Date Joined (Quarter)].[Date Joined (Quarter)]" caption="Date Joined (Quarter)" numFmtId="0" hierarchy="12" level="1">
      <sharedItems count="2">
        <s v="Qtr1"/>
        <s v="Qtr2"/>
      </sharedItems>
    </cacheField>
    <cacheField name="[All_Staff].[Date Joined (Year)].[Date Joined (Year)]" caption="Date Joined (Year)" numFmtId="0" hierarchy="11" level="1">
      <sharedItems count="4">
        <s v="2020"/>
        <s v="2021"/>
        <s v="2022"/>
        <s v="2023"/>
      </sharedItems>
    </cacheField>
  </cacheFields>
  <cacheHierarchies count="25">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Date Joined]" caption="Date Joined" attribute="1" time="1" defaultMemberUniqueName="[All_Staff].[Date Joined].[All]" allUniqueName="[All_Staff].[Date Joined].[All]" dimensionUniqueName="[All_Staff]" displayFolder="" count="2" memberValueDatatype="7" unbalanced="0">
      <fieldsUsage count="2">
        <fieldUsage x="-1"/>
        <fieldUsage x="1"/>
      </fieldsUsage>
    </cacheHierarchy>
    <cacheHierarchy uniqueName="[All_Staff].[Salary]" caption="Salary" attribute="1" defaultMemberUniqueName="[All_Staff].[Salary].[All]" allUniqueName="[All_Staff].[Salary].[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Country]" caption="Country" attribute="1" defaultMemberUniqueName="[All_Staff].[Country].[All]" allUniqueName="[All_Staff].[Country].[All]" dimensionUniqueName="[All_Staff]" displayFolder="" count="0" memberValueDatatype="130" unbalanced="0"/>
    <cacheHierarchy uniqueName="[All_Staff].[current date]" caption="current date" attribute="1" time="1" defaultMemberUniqueName="[All_Staff].[current date].[All]" allUniqueName="[All_Staff].[current date].[All]" dimensionUniqueName="[All_Staff]" displayFolder="" count="0" memberValueDatatype="7" unbalanced="0"/>
    <cacheHierarchy uniqueName="[All_Staff].[tunure]" caption="tunure" attribute="1" defaultMemberUniqueName="[All_Staff].[tunure].[All]" allUniqueName="[All_Staff].[tunure].[All]" dimensionUniqueName="[All_Staff]" displayFolder="" count="0" memberValueDatatype="20" unbalanced="0"/>
    <cacheHierarchy uniqueName="[All_Staff].[tunure in year]" caption="tunure in year" attribute="1" defaultMemberUniqueName="[All_Staff].[tunure in year].[All]" allUniqueName="[All_Staff].[tunure in year].[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2" memberValueDatatype="130" unbalanced="0">
      <fieldsUsage count="2">
        <fieldUsage x="-1"/>
        <fieldUsage x="4"/>
      </fieldsUsage>
    </cacheHierarchy>
    <cacheHierarchy uniqueName="[All_Staff].[Date Joined (Quarter)]" caption="Date Joined (Quarter)" attribute="1" defaultMemberUniqueName="[All_Staff].[Date Joined (Quarter)].[All]" allUniqueName="[All_Staff].[Date Joined (Quarter)].[All]" dimensionUniqueName="[All_Staff]" displayFolder="" count="2" memberValueDatatype="130" unbalanced="0">
      <fieldsUsage count="2">
        <fieldUsage x="-1"/>
        <fieldUsage x="3"/>
      </fieldsUsage>
    </cacheHierarchy>
    <cacheHierarchy uniqueName="[All_Staff].[Date Joined (Month)]" caption="Date Joined (Month)" attribute="1" defaultMemberUniqueName="[All_Staff].[Date Joined (Month)].[All]" allUniqueName="[All_Staff].[Date Joined (Month)].[All]" dimensionUniqueName="[All_Staff]" displayFolder="" count="2" memberValueDatatype="130" unbalanced="0">
      <fieldsUsage count="2">
        <fieldUsage x="-1"/>
        <fieldUsage x="2"/>
      </fieldsUsage>
    </cacheHierarchy>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Gender]" caption="Count of Gender" measure="1" displayFolder="" measureGroup="All_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All_Staff"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All_Staff" count="0" hidden="1">
      <extLst>
        <ext xmlns:x15="http://schemas.microsoft.com/office/spreadsheetml/2010/11/main" uri="{B97F6D7D-B522-45F9-BDA1-12C45D357490}">
          <x15:cacheHierarchy aggregatedColumn="5"/>
        </ext>
      </extLst>
    </cacheHierarchy>
    <cacheHierarchy uniqueName="[Measures].[Count of Date Joined]" caption="Count of Date Joined" measure="1" displayFolder="" measureGroup="All_Staff"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All_Staff" count="0" hidden="1">
      <extLst>
        <ext xmlns:x15="http://schemas.microsoft.com/office/spreadsheetml/2010/11/main" uri="{B97F6D7D-B522-45F9-BDA1-12C45D357490}">
          <x15:cacheHierarchy aggregatedColumn="7"/>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5585.201607175928" backgroundQuery="1" createdVersion="8" refreshedVersion="8" minRefreshableVersion="3" recordCount="0" supportSubquery="1" supportAdvancedDrill="1" xr:uid="{E893DAEF-9E29-405C-908B-21CFF32DD066}">
  <cacheSource type="external" connectionId="4"/>
  <cacheFields count="5">
    <cacheField name="[All_Staff].[Gender].[Gender]" caption="Gender" numFmtId="0" hierarchy="1" level="1">
      <sharedItems count="2">
        <s v="Female"/>
        <s v="Male"/>
      </sharedItems>
    </cacheField>
    <cacheField name="[Measures].[Count of Name]" caption="Count of Name" numFmtId="0" hierarchy="20" level="32767"/>
    <cacheField name="[Measures].[Average of Age]" caption="Average of Age" numFmtId="0" hierarchy="19" level="32767"/>
    <cacheField name="[Measures].[Average of Salary]" caption="Average of Salary" numFmtId="0" hierarchy="22" level="32767"/>
    <cacheField name="[All_Staff].[Country].[Country]" caption="Country" numFmtId="0" hierarchy="7" level="1">
      <sharedItems containsSemiMixedTypes="0" containsNonDate="0" containsString="0"/>
    </cacheField>
  </cacheFields>
  <cacheHierarchies count="25">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2" memberValueDatatype="130" unbalanced="0">
      <fieldsUsage count="2">
        <fieldUsage x="-1"/>
        <fieldUsage x="0"/>
      </fieldsUsage>
    </cacheHierarchy>
    <cacheHierarchy uniqueName="[All_Staff].[Department]" caption="Department" attribute="1" defaultMemberUniqueName="[All_Staff].[Department].[All]" allUniqueName="[All_Staff].[Department].[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Salary]" caption="Salary" attribute="1" defaultMemberUniqueName="[All_Staff].[Salary].[All]" allUniqueName="[All_Staff].[Salary].[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4"/>
      </fieldsUsage>
    </cacheHierarchy>
    <cacheHierarchy uniqueName="[All_Staff].[current date]" caption="current date" attribute="1" time="1" defaultMemberUniqueName="[All_Staff].[current date].[All]" allUniqueName="[All_Staff].[current date].[All]" dimensionUniqueName="[All_Staff]" displayFolder="" count="0" memberValueDatatype="7" unbalanced="0"/>
    <cacheHierarchy uniqueName="[All_Staff].[tunure]" caption="tunure" attribute="1" defaultMemberUniqueName="[All_Staff].[tunure].[All]" allUniqueName="[All_Staff].[tunure].[All]" dimensionUniqueName="[All_Staff]" displayFolder="" count="0" memberValueDatatype="20" unbalanced="0"/>
    <cacheHierarchy uniqueName="[All_Staff].[tunure in year]" caption="tunure in year" attribute="1" defaultMemberUniqueName="[All_Staff].[tunure in year].[All]" allUniqueName="[All_Staff].[tunure in year].[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Gender]" caption="Count of Gender" measure="1" displayFolder="" measureGroup="All_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All_Staff"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All_Staff"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Date Joined]" caption="Count of Date Joined" measure="1" displayFolder="" measureGroup="All_Staff"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All_Staff" count="0" hidden="1">
      <extLst>
        <ext xmlns:x15="http://schemas.microsoft.com/office/spreadsheetml/2010/11/main" uri="{B97F6D7D-B522-45F9-BDA1-12C45D357490}">
          <x15:cacheHierarchy aggregatedColumn="7"/>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5585.224694097225" backgroundQuery="1" createdVersion="8" refreshedVersion="8" minRefreshableVersion="3" recordCount="0" supportSubquery="1" supportAdvancedDrill="1" xr:uid="{E8F49AC0-698A-4BA5-B6D7-0485D6349442}">
  <cacheSource type="external" connectionId="4"/>
  <cacheFields count="3">
    <cacheField name="[All_Staff].[Department].[Department]" caption="Department" numFmtId="0" hierarchy="2" level="1">
      <sharedItems count="5">
        <s v="Finance"/>
        <s v="HR"/>
        <s v="Procurement"/>
        <s v="Sales"/>
        <s v="Website"/>
      </sharedItems>
    </cacheField>
    <cacheField name="[Measures].[Count of Name]" caption="Count of Name" numFmtId="0" hierarchy="20" level="32767"/>
    <cacheField name="[All_Staff].[Country].[Country]" caption="Country" numFmtId="0" hierarchy="7" level="1">
      <sharedItems containsSemiMixedTypes="0" containsNonDate="0" containsString="0"/>
    </cacheField>
  </cacheFields>
  <cacheHierarchies count="25">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Department]" caption="Department" attribute="1" defaultMemberUniqueName="[All_Staff].[Department].[All]" allUniqueName="[All_Staff].[Department].[All]" dimensionUniqueName="[All_Staff]" displayFolder="" count="2" memberValueDatatype="130" unbalanced="0">
      <fieldsUsage count="2">
        <fieldUsage x="-1"/>
        <fieldUsage x="0"/>
      </fieldsUsage>
    </cacheHierarchy>
    <cacheHierarchy uniqueName="[All_Staff].[Age]" caption="Age" attribute="1" defaultMemberUniqueName="[All_Staff].[Age].[All]" allUniqueName="[All_Staff].[Age].[All]" dimensionUniqueName="[All_Staff]" displayFolder="" count="0" memberValueDatatype="2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Salary]" caption="Salary" attribute="1" defaultMemberUniqueName="[All_Staff].[Salary].[All]" allUniqueName="[All_Staff].[Salary].[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2"/>
      </fieldsUsage>
    </cacheHierarchy>
    <cacheHierarchy uniqueName="[All_Staff].[current date]" caption="current date" attribute="1" time="1" defaultMemberUniqueName="[All_Staff].[current date].[All]" allUniqueName="[All_Staff].[current date].[All]" dimensionUniqueName="[All_Staff]" displayFolder="" count="0" memberValueDatatype="7" unbalanced="0"/>
    <cacheHierarchy uniqueName="[All_Staff].[tunure]" caption="tunure" attribute="1" defaultMemberUniqueName="[All_Staff].[tunure].[All]" allUniqueName="[All_Staff].[tunure].[All]" dimensionUniqueName="[All_Staff]" displayFolder="" count="0" memberValueDatatype="20" unbalanced="0"/>
    <cacheHierarchy uniqueName="[All_Staff].[tunure in year]" caption="tunure in year" attribute="1" defaultMemberUniqueName="[All_Staff].[tunure in year].[All]" allUniqueName="[All_Staff].[tunure in year].[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Gender]" caption="Count of Gender" measure="1" displayFolder="" measureGroup="All_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All_Staff" count="0" hidden="1">
      <extLst>
        <ext xmlns:x15="http://schemas.microsoft.com/office/spreadsheetml/2010/11/main" uri="{B97F6D7D-B522-45F9-BDA1-12C45D357490}">
          <x15:cacheHierarchy aggregatedColumn="5"/>
        </ext>
      </extLst>
    </cacheHierarchy>
    <cacheHierarchy uniqueName="[Measures].[Count of Date Joined]" caption="Count of Date Joined" measure="1" displayFolder="" measureGroup="All_Staff"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All_Staff" count="0" hidden="1">
      <extLst>
        <ext xmlns:x15="http://schemas.microsoft.com/office/spreadsheetml/2010/11/main" uri="{B97F6D7D-B522-45F9-BDA1-12C45D357490}">
          <x15:cacheHierarchy aggregatedColumn="7"/>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5585.236934953704" backgroundQuery="1" createdVersion="8" refreshedVersion="8" minRefreshableVersion="3" recordCount="0" supportSubquery="1" supportAdvancedDrill="1" xr:uid="{B9313671-5D52-43CD-8188-DF9E753404C6}">
  <cacheSource type="external" connectionId="4"/>
  <cacheFields count="3">
    <cacheField name="[All_Staff].[Department].[Department]" caption="Department" numFmtId="0" hierarchy="2" level="1">
      <sharedItems count="5">
        <s v="Finance"/>
        <s v="HR"/>
        <s v="Procurement"/>
        <s v="Sales"/>
        <s v="Website"/>
      </sharedItems>
    </cacheField>
    <cacheField name="[Measures].[Count of Name]" caption="Count of Name" numFmtId="0" hierarchy="20" level="32767"/>
    <cacheField name="[All_Staff].[Country].[Country]" caption="Country" numFmtId="0" hierarchy="7" level="1">
      <sharedItems containsSemiMixedTypes="0" containsNonDate="0" containsString="0"/>
    </cacheField>
  </cacheFields>
  <cacheHierarchies count="25">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Department]" caption="Department" attribute="1" defaultMemberUniqueName="[All_Staff].[Department].[All]" allUniqueName="[All_Staff].[Department].[All]" dimensionUniqueName="[All_Staff]" displayFolder="" count="2" memberValueDatatype="130" unbalanced="0">
      <fieldsUsage count="2">
        <fieldUsage x="-1"/>
        <fieldUsage x="0"/>
      </fieldsUsage>
    </cacheHierarchy>
    <cacheHierarchy uniqueName="[All_Staff].[Age]" caption="Age" attribute="1" defaultMemberUniqueName="[All_Staff].[Age].[All]" allUniqueName="[All_Staff].[Age].[All]" dimensionUniqueName="[All_Staff]" displayFolder="" count="0" memberValueDatatype="2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Salary]" caption="Salary" attribute="1" defaultMemberUniqueName="[All_Staff].[Salary].[All]" allUniqueName="[All_Staff].[Salary].[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2"/>
      </fieldsUsage>
    </cacheHierarchy>
    <cacheHierarchy uniqueName="[All_Staff].[current date]" caption="current date" attribute="1" time="1" defaultMemberUniqueName="[All_Staff].[current date].[All]" allUniqueName="[All_Staff].[current date].[All]" dimensionUniqueName="[All_Staff]" displayFolder="" count="0" memberValueDatatype="7" unbalanced="0"/>
    <cacheHierarchy uniqueName="[All_Staff].[tunure]" caption="tunure" attribute="1" defaultMemberUniqueName="[All_Staff].[tunure].[All]" allUniqueName="[All_Staff].[tunure].[All]" dimensionUniqueName="[All_Staff]" displayFolder="" count="0" memberValueDatatype="20" unbalanced="0"/>
    <cacheHierarchy uniqueName="[All_Staff].[tunure in year]" caption="tunure in year" attribute="1" defaultMemberUniqueName="[All_Staff].[tunure in year].[All]" allUniqueName="[All_Staff].[tunure in year].[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Gender]" caption="Count of Gender" measure="1" displayFolder="" measureGroup="All_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All_Staff" count="0" hidden="1">
      <extLst>
        <ext xmlns:x15="http://schemas.microsoft.com/office/spreadsheetml/2010/11/main" uri="{B97F6D7D-B522-45F9-BDA1-12C45D357490}">
          <x15:cacheHierarchy aggregatedColumn="5"/>
        </ext>
      </extLst>
    </cacheHierarchy>
    <cacheHierarchy uniqueName="[Measures].[Count of Date Joined]" caption="Count of Date Joined" measure="1" displayFolder="" measureGroup="All_Staff"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All_Staff" count="0" hidden="1">
      <extLst>
        <ext xmlns:x15="http://schemas.microsoft.com/office/spreadsheetml/2010/11/main" uri="{B97F6D7D-B522-45F9-BDA1-12C45D357490}">
          <x15:cacheHierarchy aggregatedColumn="7"/>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5585.201605092596" backgroundQuery="1" createdVersion="3" refreshedVersion="8" minRefreshableVersion="3" recordCount="0" supportSubquery="1" supportAdvancedDrill="1" xr:uid="{58470980-E1A2-420F-907A-895050A72CCA}">
  <cacheSource type="external" connectionId="4">
    <extLst>
      <ext xmlns:x14="http://schemas.microsoft.com/office/spreadsheetml/2009/9/main" uri="{F057638F-6D5F-4e77-A914-E7F072B9BCA8}">
        <x14:sourceConnection name="ThisWorkbookDataModel"/>
      </ext>
    </extLst>
  </cacheSource>
  <cacheFields count="0"/>
  <cacheHierarchies count="24">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Salary]" caption="Salary" attribute="1" defaultMemberUniqueName="[All_Staff].[Salary].[All]" allUniqueName="[All_Staff].[Salary].[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Country]" caption="Country" attribute="1" defaultMemberUniqueName="[All_Staff].[Country].[All]" allUniqueName="[All_Staff].[Country].[All]" dimensionUniqueName="[All_Staff]" displayFolder="" count="2" memberValueDatatype="130" unbalanced="0"/>
    <cacheHierarchy uniqueName="[All_Staff].[current date]" caption="current date" attribute="1" time="1" defaultMemberUniqueName="[All_Staff].[current date].[All]" allUniqueName="[All_Staff].[current date].[All]" dimensionUniqueName="[All_Staff]" displayFolder="" count="0" memberValueDatatype="7" unbalanced="0"/>
    <cacheHierarchy uniqueName="[All_Staff].[tunure]" caption="tunure" attribute="1" defaultMemberUniqueName="[All_Staff].[tunure].[All]" allUniqueName="[All_Staff].[tunure].[All]" dimensionUniqueName="[All_Staff]" displayFolder="" count="0" memberValueDatatype="20" unbalanced="0"/>
    <cacheHierarchy uniqueName="[All_Staff].[tunure in year]" caption="tunure in year" attribute="1" defaultMemberUniqueName="[All_Staff].[tunure in year].[All]" allUniqueName="[All_Staff].[tunure in year].[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Gender]" caption="Count of Gender" measure="1" displayFolder="" measureGroup="All_Staff" count="0" hidden="1">
      <extLst>
        <ext xmlns:x15="http://schemas.microsoft.com/office/spreadsheetml/2010/11/main" uri="{B97F6D7D-B522-45F9-BDA1-12C45D357490}">
          <x15:cacheHierarchy aggregatedColumn="1"/>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3"/>
        </ext>
      </extLst>
    </cacheHierarchy>
    <cacheHierarchy uniqueName="[Measures].[Count of Name]" caption="Count of Name" measure="1" displayFolder="" measureGroup="All_Staff"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All_Staff" count="0" hidden="1">
      <extLst>
        <ext xmlns:x15="http://schemas.microsoft.com/office/spreadsheetml/2010/11/main" uri="{B97F6D7D-B522-45F9-BDA1-12C45D357490}">
          <x15:cacheHierarchy aggregatedColumn="5"/>
        </ext>
      </extLst>
    </cacheHierarchy>
    <cacheHierarchy uniqueName="[Measures].[Count of Date Joined]" caption="Count of Date Joined" measure="1" displayFolder="" measureGroup="All_Staff"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1505634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4D1033-EC1C-4067-B51C-5E5D75A7636D}" name="PivotTable3" cacheId="2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3">
    <pivotField axis="axisRow" allDrilled="1" subtotalTop="0" showAll="0" defaultSubtotal="0" defaultAttributeDrillState="1">
      <items count="5">
        <item x="2"/>
        <item x="0"/>
        <item x="1"/>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Name" fld="1" subtotal="count" baseField="0" baseItem="0"/>
    <dataField name="Average of Salary" fld="2" subtotal="average" baseField="0" baseItem="4"/>
  </dataFields>
  <formats count="6">
    <format dxfId="6">
      <pivotArea collapsedLevelsAreSubtotals="1" fieldPosition="0">
        <references count="2">
          <reference field="4294967294" count="1" selected="0">
            <x v="1"/>
          </reference>
          <reference field="0" count="1">
            <x v="1"/>
          </reference>
        </references>
      </pivotArea>
    </format>
    <format dxfId="5">
      <pivotArea collapsedLevelsAreSubtotals="1" fieldPosition="0">
        <references count="2">
          <reference field="4294967294" count="1" selected="0">
            <x v="1"/>
          </reference>
          <reference field="0" count="1">
            <x v="2"/>
          </reference>
        </references>
      </pivotArea>
    </format>
    <format dxfId="4">
      <pivotArea collapsedLevelsAreSubtotals="1" fieldPosition="0">
        <references count="2">
          <reference field="4294967294" count="1" selected="0">
            <x v="1"/>
          </reference>
          <reference field="0" count="1">
            <x v="0"/>
          </reference>
        </references>
      </pivotArea>
    </format>
    <format dxfId="3">
      <pivotArea collapsedLevelsAreSubtotals="1" fieldPosition="0">
        <references count="2">
          <reference field="4294967294" count="1" selected="0">
            <x v="1"/>
          </reference>
          <reference field="0" count="1">
            <x v="3"/>
          </reference>
        </references>
      </pivotArea>
    </format>
    <format dxfId="2">
      <pivotArea collapsedLevelsAreSubtotals="1" fieldPosition="0">
        <references count="2">
          <reference field="4294967294" count="1" selected="0">
            <x v="1"/>
          </reference>
          <reference field="0" count="1">
            <x v="4"/>
          </reference>
        </references>
      </pivotArea>
    </format>
    <format dxfId="1">
      <pivotArea field="0" grandRow="1" outline="0" collapsedLevelsAreSubtotals="1" axis="axisRow" fieldPosition="0">
        <references count="1">
          <reference field="4294967294" count="1" selected="0">
            <x v="1"/>
          </reference>
        </references>
      </pivotArea>
    </format>
  </formats>
  <conditionalFormats count="1">
    <conditionalFormat priority="1">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B4D5A6-D00C-42FF-918B-1BF0F517F048}" name="PivotTable4"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C9" firstHeaderRow="1" firstDataRow="1" firstDataCol="1"/>
  <pivotFields count="5">
    <pivotField dataField="1" subtotalTop="0" showAll="0" defaultSubtotal="0"/>
    <pivotField axis="axisRow" allDrilled="1" subtotalTop="0" showAll="0" dataSourceSort="1" defaultSubtotal="0" defaultAttributeDrillState="1">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s>
    </pivotField>
    <pivotField axis="axisRow" allDrilled="1" subtotalTop="0" showAll="0" dataSourceSort="1" defaultSubtotal="0">
      <items count="2">
        <item x="0" e="0"/>
        <item x="1" e="0"/>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e="0"/>
        <item x="1" e="0"/>
        <item x="2" e="0"/>
        <item x="3" e="0"/>
      </items>
    </pivotField>
  </pivotFields>
  <rowFields count="4">
    <field x="4"/>
    <field x="3"/>
    <field x="2"/>
    <field x="1"/>
  </rowFields>
  <rowItems count="5">
    <i>
      <x/>
    </i>
    <i>
      <x v="1"/>
    </i>
    <i>
      <x v="2"/>
    </i>
    <i>
      <x v="3"/>
    </i>
    <i t="grand">
      <x/>
    </i>
  </rowItems>
  <colItems count="1">
    <i/>
  </colItems>
  <dataFields count="1">
    <dataField name="Count of Name" fld="0"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1"/>
    <rowHierarchyUsage hierarchyUsage="12"/>
    <rowHierarchyUsage hierarchyUsage="1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A6CD9C-D6A9-4013-B2EB-80FEEF9A0EA5}" name="PivotTable6" cacheId="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9"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6">
    <i>
      <x v="2"/>
    </i>
    <i>
      <x v="4"/>
    </i>
    <i>
      <x/>
    </i>
    <i>
      <x v="3"/>
    </i>
    <i>
      <x v="1"/>
    </i>
    <i t="grand">
      <x/>
    </i>
  </rowItems>
  <colItems count="1">
    <i/>
  </colItems>
  <pageFields count="1">
    <pageField fld="2" hier="7" name="[All_Staff].[Country].[All]" cap="All"/>
  </pageFields>
  <dataFields count="1">
    <dataField name="Count of Name"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A7C6F5-2AD2-4FAC-89FA-9092AC55A3B9}" name="PivotTable5" cacheId="2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9"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6">
    <i>
      <x v="2"/>
    </i>
    <i>
      <x v="4"/>
    </i>
    <i>
      <x/>
    </i>
    <i>
      <x v="3"/>
    </i>
    <i>
      <x v="1"/>
    </i>
    <i t="grand">
      <x/>
    </i>
  </rowItems>
  <colItems count="1">
    <i/>
  </colItems>
  <pageFields count="1">
    <pageField fld="2" hier="7" name="[All_Staff].[Country].[All]" cap="All"/>
  </pageFields>
  <dataFields count="1">
    <dataField name="Count of Name" fld="1" subtotal="count" baseField="0" baseItem="0"/>
  </dataField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1C0F86-9906-4E5F-96F2-DBC3136D5755}" name="PivotTable2" cacheId="247"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7" firstHeaderRow="1" firstDataRow="2" firstDataCol="1"/>
  <pivotFields count="5">
    <pivotField axis="axisCol"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Fields count="1">
    <field x="0"/>
  </colFields>
  <colItems count="2">
    <i>
      <x/>
    </i>
    <i>
      <x v="1"/>
    </i>
  </colItems>
  <dataFields count="3">
    <dataField name="Count of Name" fld="1" subtotal="count" baseField="0" baseItem="0"/>
    <dataField name="Average of Age" fld="2" subtotal="average" baseField="0" baseItem="0"/>
    <dataField name="Average of Salary" fld="3" subtotal="average" baseField="0" baseItem="0"/>
  </dataFields>
  <formats count="6">
    <format dxfId="30">
      <pivotArea collapsedLevelsAreSubtotals="1" fieldPosition="0">
        <references count="2">
          <reference field="4294967294" count="1">
            <x v="1"/>
          </reference>
          <reference field="0" count="1" selected="0">
            <x v="1"/>
          </reference>
        </references>
      </pivotArea>
    </format>
    <format dxfId="29">
      <pivotArea collapsedLevelsAreSubtotals="1" fieldPosition="0">
        <references count="2">
          <reference field="4294967294" count="1">
            <x v="1"/>
          </reference>
          <reference field="0" count="1" selected="0">
            <x v="0"/>
          </reference>
        </references>
      </pivotArea>
    </format>
    <format dxfId="28">
      <pivotArea field="0" grandCol="1" collapsedLevelsAreSubtotals="1" axis="axisCol" fieldPosition="0">
        <references count="1">
          <reference field="4294967294" count="1">
            <x v="1"/>
          </reference>
        </references>
      </pivotArea>
    </format>
    <format dxfId="27">
      <pivotArea collapsedLevelsAreSubtotals="1" fieldPosition="0">
        <references count="2">
          <reference field="4294967294" count="1">
            <x v="2"/>
          </reference>
          <reference field="0" count="1" selected="0">
            <x v="0"/>
          </reference>
        </references>
      </pivotArea>
    </format>
    <format dxfId="26">
      <pivotArea collapsedLevelsAreSubtotals="1" fieldPosition="0">
        <references count="2">
          <reference field="4294967294" count="1">
            <x v="2"/>
          </reference>
          <reference field="0" count="1" selected="0">
            <x v="1"/>
          </reference>
        </references>
      </pivotArea>
    </format>
    <format dxfId="25">
      <pivotArea field="0" grandCol="1" collapsedLevelsAreSubtotals="1" axis="axisCol" fieldPosition="0">
        <references count="1">
          <reference field="4294967294" count="1">
            <x v="2"/>
          </reference>
        </references>
      </pivotArea>
    </format>
  </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 (1).xlsx!All_Staff">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CFCDA6-3749-4AF2-9438-710E0D9843C5}" autoFormatId="16" applyNumberFormats="0" applyBorderFormats="0" applyFontFormats="0" applyPatternFormats="0" applyAlignmentFormats="0" applyWidthHeightFormats="0">
  <queryTableRefresh nextId="16" unboundColumnsRight="5">
    <queryTableFields count="13">
      <queryTableField id="1" name="Name" tableColumnId="1"/>
      <queryTableField id="2" name="Gender" tableColumnId="2"/>
      <queryTableField id="3" name="Department" tableColumnId="3"/>
      <queryTableField id="4" name="Age" tableColumnId="4"/>
      <queryTableField id="5" name="Date Joined" tableColumnId="5"/>
      <queryTableField id="6" name="Salary" tableColumnId="6"/>
      <queryTableField id="7" name="Rating" tableColumnId="7"/>
      <queryTableField id="8" name="Country" tableColumnId="8"/>
      <queryTableField id="9" dataBound="0" tableColumnId="9"/>
      <queryTableField id="10" dataBound="0" tableColumnId="10"/>
      <queryTableField id="11" dataBound="0" tableColumnId="11"/>
      <queryTableField id="14" dataBound="0" tableColumnId="14"/>
      <queryTableField id="15" dataBound="0" tableColumnId="15"/>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8</v>
    <v>55</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A7B3683-8A07-4FED-8F96-A097F43E2ECC}" sourceName="[All_Staff].[Country]">
  <pivotTables>
    <pivotTable tabId="7" name="PivotTable2"/>
  </pivotTables>
  <data>
    <olap pivotCacheId="1150563471">
      <levels count="2">
        <level uniqueName="[All_Staff].[Country].[(All)]" sourceCaption="(All)" count="0"/>
        <level uniqueName="[All_Staff].[Country].[Country]" sourceCaption="Country" count="2">
          <ranges>
            <range startItem="0">
              <i n="[All_Staff].[Country].&amp;[india]" c="india"/>
              <i n="[All_Staff].[Country].&amp;[NZ]" c="NZ"/>
            </range>
          </ranges>
        </level>
      </levels>
      <selections count="1">
        <selection n="[All_Staff].[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6DEE859-BAA6-4A2A-8C2C-2811907B3FBD}" cache="Slicer_Country" caption="Country" level="1"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1B9643-FABE-405C-A986-16F7900FA5D6}" name="NZ" displayName="NZ" ref="C5:I106" totalsRowCount="1">
  <autoFilter ref="C5:I105" xr:uid="{9D1B9643-FABE-405C-A986-16F7900FA5D6}"/>
  <tableColumns count="7">
    <tableColumn id="1" xr3:uid="{3083B201-7185-4D9F-AF25-ADA84FCACDAE}" name="Name" totalsRowLabel="Total"/>
    <tableColumn id="2" xr3:uid="{309B8E10-3494-4369-B164-63F7C16AAEFE}" name="Gender" totalsRowFunction="count"/>
    <tableColumn id="3" xr3:uid="{956286EA-C435-4484-970B-3B9D093D4C26}" name="Department"/>
    <tableColumn id="4" xr3:uid="{E2B282B6-0775-4D4F-8852-DE18DCB13CEF}" name="Age"/>
    <tableColumn id="5" xr3:uid="{F0536A54-911D-4F6E-B4B0-D931A980DC46}" name="Date Joined"/>
    <tableColumn id="6" xr3:uid="{10AADC0D-5ACA-4213-8C98-B8196A77E77E}" name="Salary" totalsRowFunction="average" dataDxfId="33" dataCellStyle="Currency"/>
    <tableColumn id="7" xr3:uid="{38B51338-AC72-451F-B4D0-35B78B8F4DAF}" name="Rating"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F303B7-DE99-4A3E-88D8-C1DF565928D9}" name="india" displayName="india" ref="B2:H115" totalsRowCount="1">
  <autoFilter ref="B2:H114" xr:uid="{AEF303B7-DE99-4A3E-88D8-C1DF565928D9}"/>
  <tableColumns count="7">
    <tableColumn id="1" xr3:uid="{439C7FE4-7FE8-483D-BDFC-B9FD3E68B396}" name="Name" totalsRowLabel="Total"/>
    <tableColumn id="2" xr3:uid="{5B0B83F6-B984-47FE-BCB0-21426F36EB43}" name="Gender" totalsRowFunction="count"/>
    <tableColumn id="3" xr3:uid="{2F57419B-8C5D-41A0-9CFC-D104982AD4ED}" name="Age"/>
    <tableColumn id="4" xr3:uid="{D51093DE-16E3-4A07-B37B-DD1C5D22171B}" name="Rating"/>
    <tableColumn id="5" xr3:uid="{6515B52A-9315-4B74-A07B-ADB1BD526A40}" name="Date Joined" dataDxfId="32"/>
    <tableColumn id="6" xr3:uid="{19308348-5D39-480C-898E-0136643C9FD7}" name="Department"/>
    <tableColumn id="7" xr3:uid="{C38716AF-7EEF-4A83-A6FE-BCF9E9D675EB}" name="Salary" totalsRowFunction="average" dataDxfId="31" dataCellStyle="Currency"/>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3E1516-3D49-4CA1-AB97-99FD9A92F19D}" name="All_Staff" displayName="All_Staff" ref="A1:M185" tableType="queryTable" totalsRowShown="0" headerRowDxfId="22" dataDxfId="21">
  <autoFilter ref="A1:M185" xr:uid="{073E1516-3D49-4CA1-AB97-99FD9A92F19D}"/>
  <sortState xmlns:xlrd2="http://schemas.microsoft.com/office/spreadsheetml/2017/richdata2" ref="A2:L185">
    <sortCondition ref="F1:F185"/>
  </sortState>
  <tableColumns count="13">
    <tableColumn id="1" xr3:uid="{95C60BBC-88D9-4A42-B270-E69ECF252A98}" uniqueName="1" name="Name" queryTableFieldId="1" dataDxfId="20"/>
    <tableColumn id="2" xr3:uid="{74B45E85-ECB0-429D-BBBE-2BB93D40AE4A}" uniqueName="2" name="Gender" queryTableFieldId="2" dataDxfId="19"/>
    <tableColumn id="3" xr3:uid="{C8FF1556-3FF6-4662-BB93-45B9B7FB99EF}" uniqueName="3" name="Department" queryTableFieldId="3" dataDxfId="18"/>
    <tableColumn id="4" xr3:uid="{9DF18CE2-C0D9-4AAA-86D0-F06A9584C58D}" uniqueName="4" name="Age" queryTableFieldId="4" dataDxfId="17"/>
    <tableColumn id="5" xr3:uid="{43DB4EEB-A9DA-4C15-AF5E-447ED838B869}" uniqueName="5" name="Date Joined" queryTableFieldId="5" dataDxfId="16"/>
    <tableColumn id="6" xr3:uid="{A270F62F-2472-4C17-9910-B2A42D91B25E}" uniqueName="6" name="Salary" queryTableFieldId="6" dataDxfId="15"/>
    <tableColumn id="7" xr3:uid="{18D67303-84CD-488A-80B8-CD25B8920A69}" uniqueName="7" name="Rating" queryTableFieldId="7" dataDxfId="14"/>
    <tableColumn id="8" xr3:uid="{58730BBC-8EC3-497F-A53F-E296BDBCC767}" uniqueName="8" name="Country" queryTableFieldId="8" dataDxfId="13"/>
    <tableColumn id="9" xr3:uid="{784B34CE-53C0-44E1-B73F-8D096CB4CF75}" uniqueName="9" name="current date" queryTableFieldId="9" dataDxfId="12">
      <calculatedColumnFormula>TODAY()</calculatedColumnFormula>
    </tableColumn>
    <tableColumn id="10" xr3:uid="{E5480ACC-772F-4C12-878D-73881CC0E438}" uniqueName="10" name="tunure" queryTableFieldId="10" dataDxfId="11">
      <calculatedColumnFormula>All_Staff[[#This Row],[current date]]-All_Staff[[#This Row],[Date Joined]]</calculatedColumnFormula>
    </tableColumn>
    <tableColumn id="11" xr3:uid="{C37F5D6F-2F1E-425F-8BD9-25502C54A637}" uniqueName="11" name="tunure in year" queryTableFieldId="11" dataDxfId="10">
      <calculatedColumnFormula>All_Staff[[#This Row],[tunure]]/365</calculatedColumnFormula>
    </tableColumn>
    <tableColumn id="14" xr3:uid="{1C8DDF3B-EE68-4FF1-8EC7-46C3206A1470}" uniqueName="14" name="Bouns" queryTableFieldId="14" dataDxfId="9">
      <calculatedColumnFormula>IF(All_Staff[[#This Row],[tunure in year]]&gt;3,3%,2%)*All_Staff[[#This Row],[Salary]]</calculatedColumnFormula>
    </tableColumn>
    <tableColumn id="15" xr3:uid="{21EE4E0D-9192-4A90-8606-76AC70471A78}" uniqueName="15" name="Rating in number" queryTableFieldId="15" dataDxfId="0">
      <calculatedColumnFormula>_xlfn.XLOOKUP(All_Staff[[#This Row],[Rating]],'Salary vs Rating.'!$B$3:$B$7,'Salary vs Rating.'!$C$3:$C$7)</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06"/>
  <sheetViews>
    <sheetView showGridLines="0" topLeftCell="A93" workbookViewId="0">
      <selection activeCell="C2" sqref="C2"/>
    </sheetView>
  </sheetViews>
  <sheetFormatPr defaultRowHeight="15" x14ac:dyDescent="0.25"/>
  <cols>
    <col min="1" max="1" width="1.7109375" customWidth="1"/>
    <col min="2" max="2" width="3.7109375" customWidth="1"/>
    <col min="3" max="3" width="36.42578125" bestFit="1" customWidth="1"/>
    <col min="4" max="4" width="9.85546875" customWidth="1"/>
    <col min="5" max="5" width="13.85546875" customWidth="1"/>
    <col min="7" max="7" width="13.5703125" customWidth="1"/>
    <col min="8" max="8" width="12.5703125" bestFit="1" customWidth="1"/>
    <col min="9" max="9" width="14.28515625" bestFit="1" customWidth="1"/>
  </cols>
  <sheetData>
    <row r="1" spans="1:9" s="2" customFormat="1" ht="52.5" customHeight="1" x14ac:dyDescent="0.25">
      <c r="A1" s="1"/>
      <c r="C1" s="3" t="s">
        <v>110</v>
      </c>
    </row>
    <row r="5" spans="1:9" x14ac:dyDescent="0.25">
      <c r="C5" t="s">
        <v>0</v>
      </c>
      <c r="D5" t="s">
        <v>1</v>
      </c>
      <c r="E5" t="s">
        <v>2</v>
      </c>
      <c r="F5" t="s">
        <v>3</v>
      </c>
      <c r="G5" s="4" t="s">
        <v>4</v>
      </c>
      <c r="H5" t="s">
        <v>5</v>
      </c>
      <c r="I5" t="s">
        <v>6</v>
      </c>
    </row>
    <row r="6" spans="1:9" x14ac:dyDescent="0.25">
      <c r="C6" t="s">
        <v>58</v>
      </c>
      <c r="D6" t="s">
        <v>15</v>
      </c>
      <c r="E6" t="s">
        <v>19</v>
      </c>
      <c r="F6">
        <v>22</v>
      </c>
      <c r="G6" s="4">
        <v>44446</v>
      </c>
      <c r="H6" s="5">
        <v>112780</v>
      </c>
      <c r="I6" t="s">
        <v>13</v>
      </c>
    </row>
    <row r="7" spans="1:9" x14ac:dyDescent="0.25">
      <c r="C7" t="s">
        <v>70</v>
      </c>
      <c r="D7" t="s">
        <v>15</v>
      </c>
      <c r="E7" t="s">
        <v>9</v>
      </c>
      <c r="F7">
        <v>46</v>
      </c>
      <c r="G7" s="4">
        <v>44758</v>
      </c>
      <c r="H7" s="5">
        <v>70610</v>
      </c>
      <c r="I7" t="s">
        <v>16</v>
      </c>
    </row>
    <row r="8" spans="1:9" x14ac:dyDescent="0.25">
      <c r="C8" t="s">
        <v>75</v>
      </c>
      <c r="D8" t="s">
        <v>8</v>
      </c>
      <c r="E8" t="s">
        <v>19</v>
      </c>
      <c r="F8">
        <v>28</v>
      </c>
      <c r="G8" s="4">
        <v>44357</v>
      </c>
      <c r="H8" s="5">
        <v>53240</v>
      </c>
      <c r="I8" t="s">
        <v>16</v>
      </c>
    </row>
    <row r="9" spans="1:9" x14ac:dyDescent="0.25">
      <c r="C9" t="s">
        <v>49</v>
      </c>
      <c r="E9" t="s">
        <v>21</v>
      </c>
      <c r="F9">
        <v>37</v>
      </c>
      <c r="G9" s="4">
        <v>44146</v>
      </c>
      <c r="H9" s="5">
        <v>115440</v>
      </c>
      <c r="I9" t="s">
        <v>24</v>
      </c>
    </row>
    <row r="10" spans="1:9" x14ac:dyDescent="0.25">
      <c r="C10" t="s">
        <v>65</v>
      </c>
      <c r="D10" t="s">
        <v>15</v>
      </c>
      <c r="E10" t="s">
        <v>19</v>
      </c>
      <c r="F10">
        <v>32</v>
      </c>
      <c r="G10" s="4">
        <v>44465</v>
      </c>
      <c r="H10" s="5">
        <v>53540</v>
      </c>
      <c r="I10" t="s">
        <v>16</v>
      </c>
    </row>
    <row r="11" spans="1:9" x14ac:dyDescent="0.25">
      <c r="C11" t="s">
        <v>81</v>
      </c>
      <c r="D11" t="s">
        <v>8</v>
      </c>
      <c r="E11" t="s">
        <v>9</v>
      </c>
      <c r="F11">
        <v>30</v>
      </c>
      <c r="G11" s="4">
        <v>44861</v>
      </c>
      <c r="H11" s="5">
        <v>112570</v>
      </c>
      <c r="I11" t="s">
        <v>16</v>
      </c>
    </row>
    <row r="12" spans="1:9" x14ac:dyDescent="0.25">
      <c r="C12" t="s">
        <v>51</v>
      </c>
      <c r="D12" t="s">
        <v>15</v>
      </c>
      <c r="E12" t="s">
        <v>9</v>
      </c>
      <c r="F12">
        <v>33</v>
      </c>
      <c r="G12" s="4">
        <v>44701</v>
      </c>
      <c r="H12" s="5">
        <v>48530</v>
      </c>
      <c r="I12" t="s">
        <v>13</v>
      </c>
    </row>
    <row r="13" spans="1:9" x14ac:dyDescent="0.25">
      <c r="C13" t="s">
        <v>61</v>
      </c>
      <c r="D13" t="s">
        <v>8</v>
      </c>
      <c r="E13" t="s">
        <v>12</v>
      </c>
      <c r="F13">
        <v>24</v>
      </c>
      <c r="G13" s="4">
        <v>44148</v>
      </c>
      <c r="H13" s="5">
        <v>62780</v>
      </c>
      <c r="I13" t="s">
        <v>16</v>
      </c>
    </row>
    <row r="14" spans="1:9" x14ac:dyDescent="0.25">
      <c r="C14" t="s">
        <v>82</v>
      </c>
      <c r="D14" t="s">
        <v>15</v>
      </c>
      <c r="E14" t="s">
        <v>12</v>
      </c>
      <c r="F14">
        <v>33</v>
      </c>
      <c r="G14" s="4">
        <v>44509</v>
      </c>
      <c r="H14" s="5">
        <v>53870</v>
      </c>
      <c r="I14" t="s">
        <v>16</v>
      </c>
    </row>
    <row r="15" spans="1:9" x14ac:dyDescent="0.25">
      <c r="C15" t="s">
        <v>60</v>
      </c>
      <c r="D15" t="s">
        <v>8</v>
      </c>
      <c r="E15" t="s">
        <v>56</v>
      </c>
      <c r="F15">
        <v>27</v>
      </c>
      <c r="G15" s="4">
        <v>44122</v>
      </c>
      <c r="H15" s="5">
        <v>119110</v>
      </c>
      <c r="I15" t="s">
        <v>16</v>
      </c>
    </row>
    <row r="16" spans="1:9" x14ac:dyDescent="0.25">
      <c r="C16" t="s">
        <v>87</v>
      </c>
      <c r="D16" t="s">
        <v>15</v>
      </c>
      <c r="E16" t="s">
        <v>12</v>
      </c>
      <c r="F16">
        <v>29</v>
      </c>
      <c r="G16" s="4">
        <v>44180</v>
      </c>
      <c r="H16" s="5">
        <v>112110</v>
      </c>
      <c r="I16" t="s">
        <v>24</v>
      </c>
    </row>
    <row r="17" spans="3:9" x14ac:dyDescent="0.25">
      <c r="C17" t="s">
        <v>76</v>
      </c>
      <c r="D17" t="s">
        <v>15</v>
      </c>
      <c r="E17" t="s">
        <v>19</v>
      </c>
      <c r="F17">
        <v>25</v>
      </c>
      <c r="G17" s="4">
        <v>44383</v>
      </c>
      <c r="H17" s="5">
        <v>65700</v>
      </c>
      <c r="I17" t="s">
        <v>16</v>
      </c>
    </row>
    <row r="18" spans="3:9" x14ac:dyDescent="0.25">
      <c r="C18" t="s">
        <v>97</v>
      </c>
      <c r="D18" t="s">
        <v>15</v>
      </c>
      <c r="E18" t="s">
        <v>12</v>
      </c>
      <c r="F18">
        <v>37</v>
      </c>
      <c r="G18" s="4">
        <v>44701</v>
      </c>
      <c r="H18" s="5">
        <v>69070</v>
      </c>
      <c r="I18" t="s">
        <v>16</v>
      </c>
    </row>
    <row r="19" spans="3:9" x14ac:dyDescent="0.25">
      <c r="C19" t="s">
        <v>22</v>
      </c>
      <c r="D19" t="s">
        <v>15</v>
      </c>
      <c r="E19" t="s">
        <v>12</v>
      </c>
      <c r="F19">
        <v>20</v>
      </c>
      <c r="G19" s="4">
        <v>44459</v>
      </c>
      <c r="H19" s="5">
        <v>107700</v>
      </c>
      <c r="I19" t="s">
        <v>16</v>
      </c>
    </row>
    <row r="20" spans="3:9" x14ac:dyDescent="0.25">
      <c r="C20" t="s">
        <v>84</v>
      </c>
      <c r="D20" t="s">
        <v>8</v>
      </c>
      <c r="E20" t="s">
        <v>12</v>
      </c>
      <c r="F20">
        <v>32</v>
      </c>
      <c r="G20" s="4">
        <v>44354</v>
      </c>
      <c r="H20" s="5">
        <v>43840</v>
      </c>
      <c r="I20" t="s">
        <v>13</v>
      </c>
    </row>
    <row r="21" spans="3:9" x14ac:dyDescent="0.25">
      <c r="C21" t="s">
        <v>105</v>
      </c>
      <c r="D21" t="s">
        <v>15</v>
      </c>
      <c r="E21" t="s">
        <v>9</v>
      </c>
      <c r="F21">
        <v>40</v>
      </c>
      <c r="G21" s="4">
        <v>44263</v>
      </c>
      <c r="H21" s="5">
        <v>99750</v>
      </c>
      <c r="I21" t="s">
        <v>16</v>
      </c>
    </row>
    <row r="22" spans="3:9" x14ac:dyDescent="0.25">
      <c r="C22" t="s">
        <v>47</v>
      </c>
      <c r="D22" t="s">
        <v>15</v>
      </c>
      <c r="E22" t="s">
        <v>9</v>
      </c>
      <c r="F22">
        <v>21</v>
      </c>
      <c r="G22" s="4">
        <v>44104</v>
      </c>
      <c r="H22" s="5">
        <v>37920</v>
      </c>
      <c r="I22" t="s">
        <v>16</v>
      </c>
    </row>
    <row r="23" spans="3:9" x14ac:dyDescent="0.25">
      <c r="C23" t="s">
        <v>31</v>
      </c>
      <c r="D23" t="s">
        <v>15</v>
      </c>
      <c r="E23" t="s">
        <v>9</v>
      </c>
      <c r="F23">
        <v>21</v>
      </c>
      <c r="G23" s="4">
        <v>44762</v>
      </c>
      <c r="H23" s="5">
        <v>57090</v>
      </c>
      <c r="I23" t="s">
        <v>16</v>
      </c>
    </row>
    <row r="24" spans="3:9" x14ac:dyDescent="0.25">
      <c r="C24" t="s">
        <v>30</v>
      </c>
      <c r="D24" t="s">
        <v>8</v>
      </c>
      <c r="E24" t="s">
        <v>12</v>
      </c>
      <c r="F24">
        <v>31</v>
      </c>
      <c r="G24" s="4">
        <v>44145</v>
      </c>
      <c r="H24" s="5">
        <v>41980</v>
      </c>
      <c r="I24" t="s">
        <v>16</v>
      </c>
    </row>
    <row r="25" spans="3:9" x14ac:dyDescent="0.25">
      <c r="C25" t="s">
        <v>78</v>
      </c>
      <c r="D25" t="s">
        <v>15</v>
      </c>
      <c r="E25" t="s">
        <v>56</v>
      </c>
      <c r="F25">
        <v>21</v>
      </c>
      <c r="G25" s="4">
        <v>44242</v>
      </c>
      <c r="H25" s="5">
        <v>75880</v>
      </c>
      <c r="I25" t="s">
        <v>16</v>
      </c>
    </row>
    <row r="26" spans="3:9" x14ac:dyDescent="0.25">
      <c r="C26" t="s">
        <v>36</v>
      </c>
      <c r="D26" t="s">
        <v>8</v>
      </c>
      <c r="E26" t="s">
        <v>21</v>
      </c>
      <c r="F26">
        <v>34</v>
      </c>
      <c r="G26" s="4">
        <v>44653</v>
      </c>
      <c r="H26" s="5">
        <v>58940</v>
      </c>
      <c r="I26" t="s">
        <v>16</v>
      </c>
    </row>
    <row r="27" spans="3:9" x14ac:dyDescent="0.25">
      <c r="C27" t="s">
        <v>27</v>
      </c>
      <c r="D27" t="s">
        <v>8</v>
      </c>
      <c r="E27" t="s">
        <v>21</v>
      </c>
      <c r="F27">
        <v>30</v>
      </c>
      <c r="G27" s="4">
        <v>44389</v>
      </c>
      <c r="H27" s="5">
        <v>67910</v>
      </c>
      <c r="I27" t="s">
        <v>24</v>
      </c>
    </row>
    <row r="28" spans="3:9" x14ac:dyDescent="0.25">
      <c r="C28" t="s">
        <v>26</v>
      </c>
      <c r="D28" t="s">
        <v>8</v>
      </c>
      <c r="E28" t="s">
        <v>12</v>
      </c>
      <c r="F28">
        <v>31</v>
      </c>
      <c r="G28" s="4">
        <v>44663</v>
      </c>
      <c r="H28" s="5">
        <v>58100</v>
      </c>
      <c r="I28" t="s">
        <v>16</v>
      </c>
    </row>
    <row r="29" spans="3:9" x14ac:dyDescent="0.25">
      <c r="C29" t="s">
        <v>53</v>
      </c>
      <c r="D29" t="s">
        <v>15</v>
      </c>
      <c r="E29" t="s">
        <v>21</v>
      </c>
      <c r="F29">
        <v>27</v>
      </c>
      <c r="G29" s="4">
        <v>44567</v>
      </c>
      <c r="H29" s="5">
        <v>48980</v>
      </c>
      <c r="I29" t="s">
        <v>16</v>
      </c>
    </row>
    <row r="30" spans="3:9" x14ac:dyDescent="0.25">
      <c r="C30" t="s">
        <v>20</v>
      </c>
      <c r="E30" t="s">
        <v>21</v>
      </c>
      <c r="F30">
        <v>30</v>
      </c>
      <c r="G30" s="4">
        <v>44597</v>
      </c>
      <c r="H30" s="5">
        <v>64000</v>
      </c>
      <c r="I30" t="s">
        <v>16</v>
      </c>
    </row>
    <row r="31" spans="3:9" x14ac:dyDescent="0.25">
      <c r="C31" t="s">
        <v>7</v>
      </c>
      <c r="D31" t="s">
        <v>8</v>
      </c>
      <c r="E31" t="s">
        <v>9</v>
      </c>
      <c r="F31">
        <v>42</v>
      </c>
      <c r="G31" s="4">
        <v>44779</v>
      </c>
      <c r="H31" s="5">
        <v>75000</v>
      </c>
      <c r="I31" t="s">
        <v>10</v>
      </c>
    </row>
    <row r="32" spans="3:9" x14ac:dyDescent="0.25">
      <c r="C32" t="s">
        <v>74</v>
      </c>
      <c r="D32" t="s">
        <v>8</v>
      </c>
      <c r="E32" t="s">
        <v>12</v>
      </c>
      <c r="F32">
        <v>40</v>
      </c>
      <c r="G32" s="4">
        <v>44337</v>
      </c>
      <c r="H32" s="5">
        <v>87620</v>
      </c>
      <c r="I32" t="s">
        <v>16</v>
      </c>
    </row>
    <row r="33" spans="3:9" x14ac:dyDescent="0.25">
      <c r="C33" t="s">
        <v>44</v>
      </c>
      <c r="D33" t="s">
        <v>8</v>
      </c>
      <c r="E33" t="s">
        <v>12</v>
      </c>
      <c r="F33">
        <v>29</v>
      </c>
      <c r="G33" s="4">
        <v>44023</v>
      </c>
      <c r="H33" s="5">
        <v>34980</v>
      </c>
      <c r="I33" t="s">
        <v>16</v>
      </c>
    </row>
    <row r="34" spans="3:9" x14ac:dyDescent="0.25">
      <c r="C34" t="s">
        <v>35</v>
      </c>
      <c r="D34" t="s">
        <v>8</v>
      </c>
      <c r="E34" t="s">
        <v>21</v>
      </c>
      <c r="F34">
        <v>28</v>
      </c>
      <c r="G34" s="4">
        <v>44185</v>
      </c>
      <c r="H34" s="5">
        <v>75970</v>
      </c>
      <c r="I34" t="s">
        <v>16</v>
      </c>
    </row>
    <row r="35" spans="3:9" x14ac:dyDescent="0.25">
      <c r="C35" t="s">
        <v>38</v>
      </c>
      <c r="D35" t="s">
        <v>8</v>
      </c>
      <c r="E35" t="s">
        <v>21</v>
      </c>
      <c r="F35">
        <v>34</v>
      </c>
      <c r="G35" s="4">
        <v>44612</v>
      </c>
      <c r="H35" s="5">
        <v>60130</v>
      </c>
      <c r="I35" t="s">
        <v>16</v>
      </c>
    </row>
    <row r="36" spans="3:9" x14ac:dyDescent="0.25">
      <c r="C36" t="s">
        <v>41</v>
      </c>
      <c r="D36" t="s">
        <v>8</v>
      </c>
      <c r="E36" t="s">
        <v>12</v>
      </c>
      <c r="F36">
        <v>33</v>
      </c>
      <c r="G36" s="4">
        <v>44374</v>
      </c>
      <c r="H36" s="5">
        <v>75480</v>
      </c>
      <c r="I36" t="s">
        <v>42</v>
      </c>
    </row>
    <row r="37" spans="3:9" x14ac:dyDescent="0.25">
      <c r="C37" t="s">
        <v>40</v>
      </c>
      <c r="D37" t="s">
        <v>15</v>
      </c>
      <c r="E37" t="s">
        <v>9</v>
      </c>
      <c r="F37">
        <v>33</v>
      </c>
      <c r="G37" s="4">
        <v>44164</v>
      </c>
      <c r="H37" s="5">
        <v>115920</v>
      </c>
      <c r="I37" t="s">
        <v>16</v>
      </c>
    </row>
    <row r="38" spans="3:9" x14ac:dyDescent="0.25">
      <c r="C38" t="s">
        <v>48</v>
      </c>
      <c r="D38" t="s">
        <v>8</v>
      </c>
      <c r="E38" t="s">
        <v>19</v>
      </c>
      <c r="F38">
        <v>36</v>
      </c>
      <c r="G38" s="4">
        <v>44494</v>
      </c>
      <c r="H38" s="5">
        <v>78540</v>
      </c>
      <c r="I38" t="s">
        <v>16</v>
      </c>
    </row>
    <row r="39" spans="3:9" x14ac:dyDescent="0.25">
      <c r="C39" t="s">
        <v>34</v>
      </c>
      <c r="D39" t="s">
        <v>15</v>
      </c>
      <c r="E39" t="s">
        <v>9</v>
      </c>
      <c r="F39">
        <v>25</v>
      </c>
      <c r="G39" s="4">
        <v>44726</v>
      </c>
      <c r="H39" s="5">
        <v>109190</v>
      </c>
      <c r="I39" t="s">
        <v>13</v>
      </c>
    </row>
    <row r="40" spans="3:9" x14ac:dyDescent="0.25">
      <c r="C40" t="s">
        <v>73</v>
      </c>
      <c r="D40" t="s">
        <v>8</v>
      </c>
      <c r="E40" t="s">
        <v>19</v>
      </c>
      <c r="F40">
        <v>34</v>
      </c>
      <c r="G40" s="4">
        <v>44721</v>
      </c>
      <c r="H40" s="5">
        <v>49630</v>
      </c>
      <c r="I40" t="s">
        <v>24</v>
      </c>
    </row>
    <row r="41" spans="3:9" x14ac:dyDescent="0.25">
      <c r="C41" t="s">
        <v>107</v>
      </c>
      <c r="D41" t="s">
        <v>8</v>
      </c>
      <c r="E41" t="s">
        <v>9</v>
      </c>
      <c r="F41">
        <v>28</v>
      </c>
      <c r="G41" s="4">
        <v>44630</v>
      </c>
      <c r="H41" s="5">
        <v>99970</v>
      </c>
      <c r="I41" t="s">
        <v>16</v>
      </c>
    </row>
    <row r="42" spans="3:9" x14ac:dyDescent="0.25">
      <c r="C42" t="s">
        <v>71</v>
      </c>
      <c r="D42" t="s">
        <v>8</v>
      </c>
      <c r="E42" t="s">
        <v>12</v>
      </c>
      <c r="F42">
        <v>33</v>
      </c>
      <c r="G42" s="4">
        <v>44190</v>
      </c>
      <c r="H42" s="5">
        <v>96140</v>
      </c>
      <c r="I42" t="s">
        <v>16</v>
      </c>
    </row>
    <row r="43" spans="3:9" x14ac:dyDescent="0.25">
      <c r="C43" t="s">
        <v>50</v>
      </c>
      <c r="D43" t="s">
        <v>15</v>
      </c>
      <c r="E43" t="s">
        <v>9</v>
      </c>
      <c r="F43">
        <v>31</v>
      </c>
      <c r="G43" s="4">
        <v>44724</v>
      </c>
      <c r="H43" s="5">
        <v>103550</v>
      </c>
      <c r="I43" t="s">
        <v>16</v>
      </c>
    </row>
    <row r="44" spans="3:9" x14ac:dyDescent="0.25">
      <c r="C44" t="s">
        <v>14</v>
      </c>
      <c r="D44" t="s">
        <v>15</v>
      </c>
      <c r="E44" t="s">
        <v>12</v>
      </c>
      <c r="F44">
        <v>31</v>
      </c>
      <c r="G44" s="4">
        <v>44511</v>
      </c>
      <c r="H44" s="5">
        <v>48950</v>
      </c>
      <c r="I44" t="s">
        <v>16</v>
      </c>
    </row>
    <row r="45" spans="3:9" x14ac:dyDescent="0.25">
      <c r="C45" t="s">
        <v>63</v>
      </c>
      <c r="D45" t="s">
        <v>15</v>
      </c>
      <c r="E45" t="s">
        <v>21</v>
      </c>
      <c r="F45">
        <v>24</v>
      </c>
      <c r="G45" s="4">
        <v>44436</v>
      </c>
      <c r="H45" s="5">
        <v>52610</v>
      </c>
      <c r="I45" t="s">
        <v>24</v>
      </c>
    </row>
    <row r="46" spans="3:9" x14ac:dyDescent="0.25">
      <c r="C46" t="s">
        <v>72</v>
      </c>
      <c r="D46" t="s">
        <v>8</v>
      </c>
      <c r="E46" t="s">
        <v>9</v>
      </c>
      <c r="F46">
        <v>36</v>
      </c>
      <c r="G46" s="4">
        <v>44529</v>
      </c>
      <c r="H46" s="5">
        <v>78390</v>
      </c>
      <c r="I46" t="s">
        <v>16</v>
      </c>
    </row>
    <row r="47" spans="3:9" x14ac:dyDescent="0.25">
      <c r="C47" t="s">
        <v>88</v>
      </c>
      <c r="D47" t="s">
        <v>8</v>
      </c>
      <c r="E47" t="s">
        <v>21</v>
      </c>
      <c r="F47">
        <v>33</v>
      </c>
      <c r="G47" s="4">
        <v>44809</v>
      </c>
      <c r="H47" s="5">
        <v>86570</v>
      </c>
      <c r="I47" t="s">
        <v>16</v>
      </c>
    </row>
    <row r="48" spans="3:9" x14ac:dyDescent="0.25">
      <c r="C48" t="s">
        <v>92</v>
      </c>
      <c r="D48" t="s">
        <v>8</v>
      </c>
      <c r="E48" t="s">
        <v>12</v>
      </c>
      <c r="F48">
        <v>27</v>
      </c>
      <c r="G48" s="4">
        <v>44686</v>
      </c>
      <c r="H48" s="5">
        <v>83750</v>
      </c>
      <c r="I48" t="s">
        <v>16</v>
      </c>
    </row>
    <row r="49" spans="3:9" x14ac:dyDescent="0.25">
      <c r="C49" t="s">
        <v>102</v>
      </c>
      <c r="D49" t="s">
        <v>8</v>
      </c>
      <c r="E49" t="s">
        <v>21</v>
      </c>
      <c r="F49">
        <v>34</v>
      </c>
      <c r="G49" s="4">
        <v>44445</v>
      </c>
      <c r="H49" s="5">
        <v>92450</v>
      </c>
      <c r="I49" t="s">
        <v>16</v>
      </c>
    </row>
    <row r="50" spans="3:9" x14ac:dyDescent="0.25">
      <c r="C50" t="s">
        <v>64</v>
      </c>
      <c r="D50" t="s">
        <v>15</v>
      </c>
      <c r="E50" t="s">
        <v>12</v>
      </c>
      <c r="F50">
        <v>20</v>
      </c>
      <c r="G50" s="4">
        <v>44183</v>
      </c>
      <c r="H50" s="5">
        <v>112650</v>
      </c>
      <c r="I50" t="s">
        <v>16</v>
      </c>
    </row>
    <row r="51" spans="3:9" x14ac:dyDescent="0.25">
      <c r="C51" t="s">
        <v>104</v>
      </c>
      <c r="D51" t="s">
        <v>15</v>
      </c>
      <c r="E51" t="s">
        <v>9</v>
      </c>
      <c r="F51">
        <v>20</v>
      </c>
      <c r="G51" s="4">
        <v>44744</v>
      </c>
      <c r="H51" s="5">
        <v>79570</v>
      </c>
      <c r="I51" t="s">
        <v>16</v>
      </c>
    </row>
    <row r="52" spans="3:9" x14ac:dyDescent="0.25">
      <c r="C52" t="s">
        <v>91</v>
      </c>
      <c r="D52" t="s">
        <v>8</v>
      </c>
      <c r="E52" t="s">
        <v>19</v>
      </c>
      <c r="F52">
        <v>20</v>
      </c>
      <c r="G52" s="4">
        <v>44537</v>
      </c>
      <c r="H52" s="5">
        <v>68900</v>
      </c>
      <c r="I52" t="s">
        <v>24</v>
      </c>
    </row>
    <row r="53" spans="3:9" x14ac:dyDescent="0.25">
      <c r="C53" t="s">
        <v>39</v>
      </c>
      <c r="D53" t="s">
        <v>8</v>
      </c>
      <c r="E53" t="s">
        <v>12</v>
      </c>
      <c r="F53">
        <v>25</v>
      </c>
      <c r="G53" s="4">
        <v>44694</v>
      </c>
      <c r="H53" s="5">
        <v>80700</v>
      </c>
      <c r="I53" t="s">
        <v>13</v>
      </c>
    </row>
    <row r="54" spans="3:9" x14ac:dyDescent="0.25">
      <c r="C54" t="s">
        <v>100</v>
      </c>
      <c r="D54" t="s">
        <v>15</v>
      </c>
      <c r="E54" t="s">
        <v>9</v>
      </c>
      <c r="F54">
        <v>19</v>
      </c>
      <c r="G54" s="4">
        <v>44277</v>
      </c>
      <c r="H54" s="5">
        <v>58960</v>
      </c>
      <c r="I54" t="s">
        <v>16</v>
      </c>
    </row>
    <row r="55" spans="3:9" x14ac:dyDescent="0.25">
      <c r="C55" t="s">
        <v>106</v>
      </c>
      <c r="D55" t="s">
        <v>15</v>
      </c>
      <c r="E55" t="s">
        <v>12</v>
      </c>
      <c r="F55">
        <v>36</v>
      </c>
      <c r="G55" s="4">
        <v>44019</v>
      </c>
      <c r="H55" s="5">
        <v>118840</v>
      </c>
      <c r="I55" t="s">
        <v>16</v>
      </c>
    </row>
    <row r="56" spans="3:9" x14ac:dyDescent="0.25">
      <c r="C56" t="s">
        <v>29</v>
      </c>
      <c r="D56" t="s">
        <v>15</v>
      </c>
      <c r="E56" t="s">
        <v>21</v>
      </c>
      <c r="F56">
        <v>28</v>
      </c>
      <c r="G56" s="4">
        <v>44041</v>
      </c>
      <c r="H56" s="5">
        <v>48170</v>
      </c>
      <c r="I56" t="s">
        <v>13</v>
      </c>
    </row>
    <row r="57" spans="3:9" x14ac:dyDescent="0.25">
      <c r="C57" t="s">
        <v>108</v>
      </c>
      <c r="D57" t="s">
        <v>8</v>
      </c>
      <c r="E57" t="s">
        <v>56</v>
      </c>
      <c r="F57">
        <v>32</v>
      </c>
      <c r="G57" s="4">
        <v>44400</v>
      </c>
      <c r="H57" s="5">
        <v>45510</v>
      </c>
      <c r="I57" t="s">
        <v>16</v>
      </c>
    </row>
    <row r="58" spans="3:9" x14ac:dyDescent="0.25">
      <c r="C58" t="s">
        <v>64</v>
      </c>
      <c r="D58" t="s">
        <v>15</v>
      </c>
      <c r="E58" t="s">
        <v>9</v>
      </c>
      <c r="F58">
        <v>34</v>
      </c>
      <c r="G58" s="4">
        <v>44703</v>
      </c>
      <c r="H58" s="5">
        <v>112650</v>
      </c>
      <c r="I58" t="s">
        <v>16</v>
      </c>
    </row>
    <row r="59" spans="3:9" x14ac:dyDescent="0.25">
      <c r="C59" t="s">
        <v>83</v>
      </c>
      <c r="D59" t="s">
        <v>8</v>
      </c>
      <c r="E59" t="s">
        <v>9</v>
      </c>
      <c r="F59">
        <v>36</v>
      </c>
      <c r="G59" s="4">
        <v>44085</v>
      </c>
      <c r="H59" s="5">
        <v>114890</v>
      </c>
      <c r="I59" t="s">
        <v>16</v>
      </c>
    </row>
    <row r="60" spans="3:9" x14ac:dyDescent="0.25">
      <c r="C60" t="s">
        <v>67</v>
      </c>
      <c r="D60" t="s">
        <v>15</v>
      </c>
      <c r="E60" t="s">
        <v>12</v>
      </c>
      <c r="F60">
        <v>30</v>
      </c>
      <c r="G60" s="4">
        <v>44850</v>
      </c>
      <c r="H60" s="5">
        <v>69710</v>
      </c>
      <c r="I60" t="s">
        <v>16</v>
      </c>
    </row>
    <row r="61" spans="3:9" x14ac:dyDescent="0.25">
      <c r="C61" t="s">
        <v>94</v>
      </c>
      <c r="D61" t="s">
        <v>15</v>
      </c>
      <c r="E61" t="s">
        <v>21</v>
      </c>
      <c r="F61">
        <v>36</v>
      </c>
      <c r="G61" s="4">
        <v>44333</v>
      </c>
      <c r="H61" s="5">
        <v>71380</v>
      </c>
      <c r="I61" t="s">
        <v>16</v>
      </c>
    </row>
    <row r="62" spans="3:9" x14ac:dyDescent="0.25">
      <c r="C62" t="s">
        <v>33</v>
      </c>
      <c r="D62" t="s">
        <v>8</v>
      </c>
      <c r="E62" t="s">
        <v>19</v>
      </c>
      <c r="F62">
        <v>38</v>
      </c>
      <c r="G62" s="4">
        <v>44377</v>
      </c>
      <c r="H62" s="5">
        <v>109160</v>
      </c>
      <c r="I62" t="s">
        <v>10</v>
      </c>
    </row>
    <row r="63" spans="3:9" x14ac:dyDescent="0.25">
      <c r="C63" t="s">
        <v>98</v>
      </c>
      <c r="D63" t="s">
        <v>15</v>
      </c>
      <c r="E63" t="s">
        <v>9</v>
      </c>
      <c r="F63">
        <v>27</v>
      </c>
      <c r="G63" s="4">
        <v>44609</v>
      </c>
      <c r="H63" s="5">
        <v>113280</v>
      </c>
      <c r="I63" t="s">
        <v>42</v>
      </c>
    </row>
    <row r="64" spans="3:9" x14ac:dyDescent="0.25">
      <c r="C64" t="s">
        <v>25</v>
      </c>
      <c r="D64" t="s">
        <v>15</v>
      </c>
      <c r="E64" t="s">
        <v>12</v>
      </c>
      <c r="F64">
        <v>30</v>
      </c>
      <c r="G64" s="4">
        <v>44273</v>
      </c>
      <c r="H64" s="5">
        <v>69120</v>
      </c>
      <c r="I64" t="s">
        <v>16</v>
      </c>
    </row>
    <row r="65" spans="3:9" x14ac:dyDescent="0.25">
      <c r="C65" t="s">
        <v>55</v>
      </c>
      <c r="D65" t="s">
        <v>8</v>
      </c>
      <c r="E65" t="s">
        <v>56</v>
      </c>
      <c r="F65">
        <v>37</v>
      </c>
      <c r="G65" s="4">
        <v>44451</v>
      </c>
      <c r="H65" s="5">
        <v>118100</v>
      </c>
      <c r="I65" t="s">
        <v>16</v>
      </c>
    </row>
    <row r="66" spans="3:9" x14ac:dyDescent="0.25">
      <c r="C66" t="s">
        <v>62</v>
      </c>
      <c r="D66" t="s">
        <v>8</v>
      </c>
      <c r="E66" t="s">
        <v>9</v>
      </c>
      <c r="F66">
        <v>22</v>
      </c>
      <c r="G66" s="4">
        <v>44450</v>
      </c>
      <c r="H66" s="5">
        <v>76900</v>
      </c>
      <c r="I66" t="s">
        <v>13</v>
      </c>
    </row>
    <row r="67" spans="3:9" x14ac:dyDescent="0.25">
      <c r="C67" t="s">
        <v>17</v>
      </c>
      <c r="D67" t="s">
        <v>8</v>
      </c>
      <c r="E67" t="s">
        <v>12</v>
      </c>
      <c r="F67">
        <v>43</v>
      </c>
      <c r="G67" s="4">
        <v>45045</v>
      </c>
      <c r="H67" s="5">
        <v>114870</v>
      </c>
      <c r="I67" t="s">
        <v>16</v>
      </c>
    </row>
    <row r="68" spans="3:9" x14ac:dyDescent="0.25">
      <c r="C68" t="s">
        <v>52</v>
      </c>
      <c r="E68" t="s">
        <v>12</v>
      </c>
      <c r="F68">
        <v>32</v>
      </c>
      <c r="G68" s="4">
        <v>44774</v>
      </c>
      <c r="H68" s="5">
        <v>91310</v>
      </c>
      <c r="I68" t="s">
        <v>16</v>
      </c>
    </row>
    <row r="69" spans="3:9" x14ac:dyDescent="0.25">
      <c r="C69" t="s">
        <v>43</v>
      </c>
      <c r="D69" t="s">
        <v>8</v>
      </c>
      <c r="E69" t="s">
        <v>9</v>
      </c>
      <c r="F69">
        <v>28</v>
      </c>
      <c r="G69" s="4">
        <v>44486</v>
      </c>
      <c r="H69" s="5">
        <v>104770</v>
      </c>
      <c r="I69" t="s">
        <v>16</v>
      </c>
    </row>
    <row r="70" spans="3:9" x14ac:dyDescent="0.25">
      <c r="C70" t="s">
        <v>89</v>
      </c>
      <c r="D70" t="s">
        <v>15</v>
      </c>
      <c r="E70" t="s">
        <v>19</v>
      </c>
      <c r="F70">
        <v>27</v>
      </c>
      <c r="G70" s="4">
        <v>44134</v>
      </c>
      <c r="H70" s="5">
        <v>54970</v>
      </c>
      <c r="I70" t="s">
        <v>16</v>
      </c>
    </row>
    <row r="71" spans="3:9" x14ac:dyDescent="0.25">
      <c r="C71" t="s">
        <v>11</v>
      </c>
      <c r="E71" t="s">
        <v>12</v>
      </c>
      <c r="F71">
        <v>26</v>
      </c>
      <c r="G71" s="4">
        <v>44271</v>
      </c>
      <c r="H71" s="5">
        <v>90700</v>
      </c>
      <c r="I71" t="s">
        <v>13</v>
      </c>
    </row>
    <row r="72" spans="3:9" x14ac:dyDescent="0.25">
      <c r="C72" t="s">
        <v>109</v>
      </c>
      <c r="D72" t="s">
        <v>8</v>
      </c>
      <c r="E72" t="s">
        <v>19</v>
      </c>
      <c r="F72">
        <v>38</v>
      </c>
      <c r="G72" s="4">
        <v>44329</v>
      </c>
      <c r="H72" s="5">
        <v>56870</v>
      </c>
      <c r="I72" t="s">
        <v>13</v>
      </c>
    </row>
    <row r="73" spans="3:9" x14ac:dyDescent="0.25">
      <c r="C73" t="s">
        <v>77</v>
      </c>
      <c r="D73" t="s">
        <v>8</v>
      </c>
      <c r="E73" t="s">
        <v>19</v>
      </c>
      <c r="F73">
        <v>25</v>
      </c>
      <c r="G73" s="4">
        <v>44205</v>
      </c>
      <c r="H73" s="5">
        <v>92700</v>
      </c>
      <c r="I73" t="s">
        <v>16</v>
      </c>
    </row>
    <row r="74" spans="3:9" x14ac:dyDescent="0.25">
      <c r="C74" t="s">
        <v>32</v>
      </c>
      <c r="D74" t="s">
        <v>8</v>
      </c>
      <c r="E74" t="s">
        <v>21</v>
      </c>
      <c r="F74">
        <v>21</v>
      </c>
      <c r="G74" s="4">
        <v>44317</v>
      </c>
      <c r="H74" s="5">
        <v>65920</v>
      </c>
      <c r="I74" t="s">
        <v>16</v>
      </c>
    </row>
    <row r="75" spans="3:9" x14ac:dyDescent="0.25">
      <c r="C75" t="s">
        <v>59</v>
      </c>
      <c r="D75" t="s">
        <v>15</v>
      </c>
      <c r="E75" t="s">
        <v>9</v>
      </c>
      <c r="F75">
        <v>26</v>
      </c>
      <c r="G75" s="4">
        <v>44225</v>
      </c>
      <c r="H75" s="5">
        <v>47360</v>
      </c>
      <c r="I75" t="s">
        <v>16</v>
      </c>
    </row>
    <row r="76" spans="3:9" x14ac:dyDescent="0.25">
      <c r="C76" t="s">
        <v>37</v>
      </c>
      <c r="D76" t="s">
        <v>15</v>
      </c>
      <c r="E76" t="s">
        <v>9</v>
      </c>
      <c r="F76">
        <v>30</v>
      </c>
      <c r="G76" s="4">
        <v>44666</v>
      </c>
      <c r="H76" s="5">
        <v>60570</v>
      </c>
      <c r="I76" t="s">
        <v>16</v>
      </c>
    </row>
    <row r="77" spans="3:9" x14ac:dyDescent="0.25">
      <c r="C77" t="s">
        <v>96</v>
      </c>
      <c r="D77" t="s">
        <v>8</v>
      </c>
      <c r="E77" t="s">
        <v>9</v>
      </c>
      <c r="F77">
        <v>28</v>
      </c>
      <c r="G77" s="4">
        <v>44649</v>
      </c>
      <c r="H77" s="5">
        <v>104120</v>
      </c>
      <c r="I77" t="s">
        <v>16</v>
      </c>
    </row>
    <row r="78" spans="3:9" x14ac:dyDescent="0.25">
      <c r="C78" t="s">
        <v>23</v>
      </c>
      <c r="D78" t="s">
        <v>15</v>
      </c>
      <c r="E78" t="s">
        <v>12</v>
      </c>
      <c r="F78">
        <v>37</v>
      </c>
      <c r="G78" s="4">
        <v>44338</v>
      </c>
      <c r="H78" s="5">
        <v>88050</v>
      </c>
      <c r="I78" t="s">
        <v>24</v>
      </c>
    </row>
    <row r="79" spans="3:9" x14ac:dyDescent="0.25">
      <c r="C79" t="s">
        <v>103</v>
      </c>
      <c r="D79" t="s">
        <v>15</v>
      </c>
      <c r="E79" t="s">
        <v>12</v>
      </c>
      <c r="F79">
        <v>24</v>
      </c>
      <c r="G79" s="4">
        <v>44686</v>
      </c>
      <c r="H79" s="5">
        <v>100420</v>
      </c>
      <c r="I79" t="s">
        <v>16</v>
      </c>
    </row>
    <row r="80" spans="3:9" x14ac:dyDescent="0.25">
      <c r="C80" t="s">
        <v>54</v>
      </c>
      <c r="D80" t="s">
        <v>8</v>
      </c>
      <c r="E80" t="s">
        <v>9</v>
      </c>
      <c r="F80">
        <v>30</v>
      </c>
      <c r="G80" s="4">
        <v>44850</v>
      </c>
      <c r="H80" s="5">
        <v>114180</v>
      </c>
      <c r="I80" t="s">
        <v>16</v>
      </c>
    </row>
    <row r="81" spans="3:9" x14ac:dyDescent="0.25">
      <c r="C81" t="s">
        <v>86</v>
      </c>
      <c r="D81" t="s">
        <v>8</v>
      </c>
      <c r="E81" t="s">
        <v>12</v>
      </c>
      <c r="F81">
        <v>21</v>
      </c>
      <c r="G81" s="4">
        <v>44678</v>
      </c>
      <c r="H81" s="5">
        <v>33920</v>
      </c>
      <c r="I81" t="s">
        <v>16</v>
      </c>
    </row>
    <row r="82" spans="3:9" x14ac:dyDescent="0.25">
      <c r="C82" t="s">
        <v>69</v>
      </c>
      <c r="D82" t="s">
        <v>15</v>
      </c>
      <c r="E82" t="s">
        <v>9</v>
      </c>
      <c r="F82">
        <v>23</v>
      </c>
      <c r="G82" s="4">
        <v>44440</v>
      </c>
      <c r="H82" s="5">
        <v>106460</v>
      </c>
      <c r="I82" t="s">
        <v>16</v>
      </c>
    </row>
    <row r="83" spans="3:9" x14ac:dyDescent="0.25">
      <c r="C83" t="s">
        <v>57</v>
      </c>
      <c r="D83" t="s">
        <v>15</v>
      </c>
      <c r="E83" t="s">
        <v>9</v>
      </c>
      <c r="F83">
        <v>35</v>
      </c>
      <c r="G83" s="4">
        <v>44727</v>
      </c>
      <c r="H83" s="5">
        <v>40400</v>
      </c>
      <c r="I83" t="s">
        <v>16</v>
      </c>
    </row>
    <row r="84" spans="3:9" x14ac:dyDescent="0.25">
      <c r="C84" t="s">
        <v>68</v>
      </c>
      <c r="D84" t="s">
        <v>15</v>
      </c>
      <c r="E84" t="s">
        <v>21</v>
      </c>
      <c r="F84">
        <v>27</v>
      </c>
      <c r="G84" s="4">
        <v>44236</v>
      </c>
      <c r="H84" s="5">
        <v>91650</v>
      </c>
      <c r="I84" t="s">
        <v>13</v>
      </c>
    </row>
    <row r="85" spans="3:9" x14ac:dyDescent="0.25">
      <c r="C85" t="s">
        <v>99</v>
      </c>
      <c r="D85" t="s">
        <v>15</v>
      </c>
      <c r="E85" t="s">
        <v>19</v>
      </c>
      <c r="F85">
        <v>43</v>
      </c>
      <c r="G85" s="4">
        <v>44620</v>
      </c>
      <c r="H85" s="5">
        <v>36040</v>
      </c>
      <c r="I85" t="s">
        <v>16</v>
      </c>
    </row>
    <row r="86" spans="3:9" x14ac:dyDescent="0.25">
      <c r="C86" t="s">
        <v>101</v>
      </c>
      <c r="D86" t="s">
        <v>8</v>
      </c>
      <c r="E86" t="s">
        <v>12</v>
      </c>
      <c r="F86">
        <v>40</v>
      </c>
      <c r="G86" s="4">
        <v>44381</v>
      </c>
      <c r="H86" s="5">
        <v>104410</v>
      </c>
      <c r="I86" t="s">
        <v>16</v>
      </c>
    </row>
    <row r="87" spans="3:9" x14ac:dyDescent="0.25">
      <c r="C87" t="s">
        <v>85</v>
      </c>
      <c r="D87" t="s">
        <v>15</v>
      </c>
      <c r="E87" t="s">
        <v>21</v>
      </c>
      <c r="F87">
        <v>30</v>
      </c>
      <c r="G87" s="4">
        <v>44606</v>
      </c>
      <c r="H87" s="5">
        <v>96800</v>
      </c>
      <c r="I87" t="s">
        <v>16</v>
      </c>
    </row>
    <row r="88" spans="3:9" x14ac:dyDescent="0.25">
      <c r="C88" t="s">
        <v>28</v>
      </c>
      <c r="D88" t="s">
        <v>8</v>
      </c>
      <c r="E88" t="s">
        <v>21</v>
      </c>
      <c r="F88">
        <v>34</v>
      </c>
      <c r="G88" s="4">
        <v>44459</v>
      </c>
      <c r="H88" s="5">
        <v>85000</v>
      </c>
      <c r="I88" t="s">
        <v>16</v>
      </c>
    </row>
    <row r="89" spans="3:9" x14ac:dyDescent="0.25">
      <c r="C89" t="s">
        <v>80</v>
      </c>
      <c r="D89" t="s">
        <v>15</v>
      </c>
      <c r="E89" t="s">
        <v>19</v>
      </c>
      <c r="F89">
        <v>28</v>
      </c>
      <c r="G89" s="4">
        <v>44820</v>
      </c>
      <c r="H89" s="5">
        <v>43510</v>
      </c>
      <c r="I89" t="s">
        <v>42</v>
      </c>
    </row>
    <row r="90" spans="3:9" x14ac:dyDescent="0.25">
      <c r="C90" t="s">
        <v>79</v>
      </c>
      <c r="D90" t="s">
        <v>15</v>
      </c>
      <c r="E90" t="s">
        <v>21</v>
      </c>
      <c r="F90">
        <v>33</v>
      </c>
      <c r="G90" s="4">
        <v>44243</v>
      </c>
      <c r="H90" s="5">
        <v>59430</v>
      </c>
      <c r="I90" t="s">
        <v>16</v>
      </c>
    </row>
    <row r="91" spans="3:9" x14ac:dyDescent="0.25">
      <c r="C91" t="s">
        <v>93</v>
      </c>
      <c r="D91" t="s">
        <v>8</v>
      </c>
      <c r="E91" t="s">
        <v>21</v>
      </c>
      <c r="F91">
        <v>33</v>
      </c>
      <c r="G91" s="4">
        <v>44067</v>
      </c>
      <c r="H91" s="5">
        <v>65360</v>
      </c>
      <c r="I91" t="s">
        <v>16</v>
      </c>
    </row>
    <row r="92" spans="3:9" x14ac:dyDescent="0.25">
      <c r="C92" t="s">
        <v>66</v>
      </c>
      <c r="D92" t="s">
        <v>8</v>
      </c>
      <c r="E92" t="s">
        <v>9</v>
      </c>
      <c r="F92">
        <v>32</v>
      </c>
      <c r="G92" s="4">
        <v>44611</v>
      </c>
      <c r="H92" s="5">
        <v>41570</v>
      </c>
      <c r="I92" t="s">
        <v>16</v>
      </c>
    </row>
    <row r="93" spans="3:9" x14ac:dyDescent="0.25">
      <c r="C93" t="s">
        <v>95</v>
      </c>
      <c r="D93" t="s">
        <v>8</v>
      </c>
      <c r="E93" t="s">
        <v>12</v>
      </c>
      <c r="F93">
        <v>33</v>
      </c>
      <c r="G93" s="4">
        <v>44312</v>
      </c>
      <c r="H93" s="5">
        <v>75280</v>
      </c>
      <c r="I93" t="s">
        <v>16</v>
      </c>
    </row>
    <row r="94" spans="3:9" x14ac:dyDescent="0.25">
      <c r="C94" t="s">
        <v>18</v>
      </c>
      <c r="D94" t="s">
        <v>15</v>
      </c>
      <c r="E94" t="s">
        <v>19</v>
      </c>
      <c r="F94">
        <v>33</v>
      </c>
      <c r="G94" s="4">
        <v>44385</v>
      </c>
      <c r="H94" s="5">
        <v>74550</v>
      </c>
      <c r="I94" t="s">
        <v>16</v>
      </c>
    </row>
    <row r="95" spans="3:9" x14ac:dyDescent="0.25">
      <c r="C95" t="s">
        <v>45</v>
      </c>
      <c r="D95" t="s">
        <v>15</v>
      </c>
      <c r="E95" t="s">
        <v>9</v>
      </c>
      <c r="F95">
        <v>30</v>
      </c>
      <c r="G95" s="4">
        <v>44701</v>
      </c>
      <c r="H95" s="5">
        <v>67950</v>
      </c>
      <c r="I95" t="s">
        <v>16</v>
      </c>
    </row>
    <row r="96" spans="3:9" x14ac:dyDescent="0.25">
      <c r="C96" t="s">
        <v>90</v>
      </c>
      <c r="D96" t="s">
        <v>15</v>
      </c>
      <c r="E96" t="s">
        <v>21</v>
      </c>
      <c r="F96">
        <v>42</v>
      </c>
      <c r="G96" s="4">
        <v>44731</v>
      </c>
      <c r="H96" s="5">
        <v>70270</v>
      </c>
      <c r="I96" t="s">
        <v>24</v>
      </c>
    </row>
    <row r="97" spans="3:9" x14ac:dyDescent="0.25">
      <c r="C97" t="s">
        <v>46</v>
      </c>
      <c r="D97" t="s">
        <v>15</v>
      </c>
      <c r="E97" t="s">
        <v>9</v>
      </c>
      <c r="F97">
        <v>26</v>
      </c>
      <c r="G97" s="4">
        <v>44411</v>
      </c>
      <c r="H97" s="5">
        <v>53540</v>
      </c>
      <c r="I97" t="s">
        <v>16</v>
      </c>
    </row>
    <row r="98" spans="3:9" x14ac:dyDescent="0.25">
      <c r="C98" t="s">
        <v>58</v>
      </c>
      <c r="D98" t="s">
        <v>15</v>
      </c>
      <c r="E98" t="s">
        <v>19</v>
      </c>
      <c r="F98">
        <v>22</v>
      </c>
      <c r="G98" s="4">
        <v>44446</v>
      </c>
      <c r="H98" s="5">
        <v>112780</v>
      </c>
      <c r="I98" t="s">
        <v>13</v>
      </c>
    </row>
    <row r="99" spans="3:9" x14ac:dyDescent="0.25">
      <c r="C99" t="s">
        <v>70</v>
      </c>
      <c r="D99" t="s">
        <v>15</v>
      </c>
      <c r="E99" t="s">
        <v>9</v>
      </c>
      <c r="F99">
        <v>46</v>
      </c>
      <c r="G99" s="4">
        <v>44758</v>
      </c>
      <c r="H99" s="5">
        <v>70610</v>
      </c>
      <c r="I99" t="s">
        <v>16</v>
      </c>
    </row>
    <row r="100" spans="3:9" x14ac:dyDescent="0.25">
      <c r="C100" t="s">
        <v>75</v>
      </c>
      <c r="D100" t="s">
        <v>8</v>
      </c>
      <c r="E100" t="s">
        <v>19</v>
      </c>
      <c r="F100">
        <v>28</v>
      </c>
      <c r="G100" s="4">
        <v>44357</v>
      </c>
      <c r="H100" s="5">
        <v>53240</v>
      </c>
      <c r="I100" t="s">
        <v>16</v>
      </c>
    </row>
    <row r="101" spans="3:9" x14ac:dyDescent="0.25">
      <c r="C101" t="s">
        <v>49</v>
      </c>
      <c r="E101" t="s">
        <v>21</v>
      </c>
      <c r="F101">
        <v>37</v>
      </c>
      <c r="G101" s="4">
        <v>44146</v>
      </c>
      <c r="H101" s="5">
        <v>115440</v>
      </c>
      <c r="I101" t="s">
        <v>24</v>
      </c>
    </row>
    <row r="102" spans="3:9" x14ac:dyDescent="0.25">
      <c r="C102" t="s">
        <v>65</v>
      </c>
      <c r="D102" t="s">
        <v>15</v>
      </c>
      <c r="E102" t="s">
        <v>19</v>
      </c>
      <c r="F102">
        <v>32</v>
      </c>
      <c r="G102" s="4">
        <v>44465</v>
      </c>
      <c r="H102" s="5">
        <v>53540</v>
      </c>
      <c r="I102" t="s">
        <v>16</v>
      </c>
    </row>
    <row r="103" spans="3:9" x14ac:dyDescent="0.25">
      <c r="C103" t="s">
        <v>81</v>
      </c>
      <c r="D103" t="s">
        <v>8</v>
      </c>
      <c r="E103" t="s">
        <v>9</v>
      </c>
      <c r="F103">
        <v>30</v>
      </c>
      <c r="G103" s="4">
        <v>44861</v>
      </c>
      <c r="H103" s="5">
        <v>112570</v>
      </c>
      <c r="I103" t="s">
        <v>16</v>
      </c>
    </row>
    <row r="104" spans="3:9" x14ac:dyDescent="0.25">
      <c r="C104" t="s">
        <v>51</v>
      </c>
      <c r="D104" t="s">
        <v>15</v>
      </c>
      <c r="E104" t="s">
        <v>9</v>
      </c>
      <c r="F104">
        <v>33</v>
      </c>
      <c r="G104" s="4">
        <v>44701</v>
      </c>
      <c r="H104" s="5">
        <v>48530</v>
      </c>
      <c r="I104" t="s">
        <v>13</v>
      </c>
    </row>
    <row r="105" spans="3:9" x14ac:dyDescent="0.25">
      <c r="C105" t="s">
        <v>61</v>
      </c>
      <c r="D105" t="s">
        <v>8</v>
      </c>
      <c r="E105" t="s">
        <v>12</v>
      </c>
      <c r="F105">
        <v>24</v>
      </c>
      <c r="G105" s="4">
        <v>44148</v>
      </c>
      <c r="H105" s="5">
        <v>62780</v>
      </c>
      <c r="I105" t="s">
        <v>16</v>
      </c>
    </row>
    <row r="106" spans="3:9" x14ac:dyDescent="0.25">
      <c r="C106" t="s">
        <v>203</v>
      </c>
      <c r="D106">
        <f>SUBTOTAL(103,NZ[Gender])</f>
        <v>95</v>
      </c>
      <c r="H106">
        <f>SUBTOTAL(101,NZ[Salary])</f>
        <v>77472.100000000006</v>
      </c>
      <c r="I106">
        <f>SUBTOTAL(103,NZ[Rating])</f>
        <v>100</v>
      </c>
    </row>
  </sheetData>
  <conditionalFormatting sqref="C6:C105">
    <cfRule type="duplicateValues" dxfId="24"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dimension ref="B2:H115"/>
  <sheetViews>
    <sheetView workbookViewId="0">
      <selection activeCell="B3" sqref="B3:B114"/>
    </sheetView>
  </sheetViews>
  <sheetFormatPr defaultRowHeight="15" x14ac:dyDescent="0.25"/>
  <cols>
    <col min="2" max="2" width="30" bestFit="1" customWidth="1"/>
    <col min="3" max="3" width="9.85546875" customWidth="1"/>
    <col min="4" max="5" width="9.42578125" customWidth="1"/>
    <col min="6" max="6" width="13.5703125" customWidth="1"/>
    <col min="7" max="7" width="13.85546875" customWidth="1"/>
    <col min="8" max="8" width="12.5703125" bestFit="1" customWidth="1"/>
  </cols>
  <sheetData>
    <row r="2" spans="2:8" x14ac:dyDescent="0.25">
      <c r="B2" t="s">
        <v>0</v>
      </c>
      <c r="C2" t="s">
        <v>1</v>
      </c>
      <c r="D2" t="s">
        <v>3</v>
      </c>
      <c r="E2" t="s">
        <v>6</v>
      </c>
      <c r="F2" t="s">
        <v>4</v>
      </c>
      <c r="G2" t="s">
        <v>2</v>
      </c>
      <c r="H2" t="s">
        <v>5</v>
      </c>
    </row>
    <row r="3" spans="2:8" x14ac:dyDescent="0.25">
      <c r="B3" t="s">
        <v>156</v>
      </c>
      <c r="C3" t="s">
        <v>15</v>
      </c>
      <c r="D3">
        <v>20</v>
      </c>
      <c r="E3" t="s">
        <v>16</v>
      </c>
      <c r="F3" s="4">
        <v>44122</v>
      </c>
      <c r="G3" t="s">
        <v>12</v>
      </c>
      <c r="H3" s="5">
        <v>112650</v>
      </c>
    </row>
    <row r="4" spans="2:8" x14ac:dyDescent="0.25">
      <c r="B4" t="s">
        <v>176</v>
      </c>
      <c r="C4" t="s">
        <v>8</v>
      </c>
      <c r="D4">
        <v>32</v>
      </c>
      <c r="E4" t="s">
        <v>13</v>
      </c>
      <c r="F4" s="4">
        <v>44293</v>
      </c>
      <c r="G4" t="s">
        <v>12</v>
      </c>
      <c r="H4" s="5">
        <v>43840</v>
      </c>
    </row>
    <row r="5" spans="2:8" x14ac:dyDescent="0.25">
      <c r="B5" t="s">
        <v>143</v>
      </c>
      <c r="C5" t="s">
        <v>15</v>
      </c>
      <c r="D5">
        <v>31</v>
      </c>
      <c r="E5" t="s">
        <v>16</v>
      </c>
      <c r="F5" s="4">
        <v>44663</v>
      </c>
      <c r="G5" t="s">
        <v>9</v>
      </c>
      <c r="H5" s="5">
        <v>103550</v>
      </c>
    </row>
    <row r="6" spans="2:8" x14ac:dyDescent="0.25">
      <c r="B6" t="s">
        <v>201</v>
      </c>
      <c r="C6" t="s">
        <v>8</v>
      </c>
      <c r="D6">
        <v>32</v>
      </c>
      <c r="E6" t="s">
        <v>16</v>
      </c>
      <c r="F6" s="4">
        <v>44339</v>
      </c>
      <c r="G6" t="s">
        <v>56</v>
      </c>
      <c r="H6" s="5">
        <v>45510</v>
      </c>
    </row>
    <row r="7" spans="2:8" x14ac:dyDescent="0.25">
      <c r="B7" t="s">
        <v>142</v>
      </c>
      <c r="D7">
        <v>37</v>
      </c>
      <c r="E7" t="s">
        <v>24</v>
      </c>
      <c r="F7" s="4">
        <v>44085</v>
      </c>
      <c r="G7" t="s">
        <v>21</v>
      </c>
      <c r="H7" s="5">
        <v>115440</v>
      </c>
    </row>
    <row r="8" spans="2:8" x14ac:dyDescent="0.25">
      <c r="B8" t="s">
        <v>202</v>
      </c>
      <c r="C8" t="s">
        <v>8</v>
      </c>
      <c r="D8">
        <v>38</v>
      </c>
      <c r="E8" t="s">
        <v>13</v>
      </c>
      <c r="F8" s="4">
        <v>44268</v>
      </c>
      <c r="G8" t="s">
        <v>19</v>
      </c>
      <c r="H8" s="5">
        <v>56870</v>
      </c>
    </row>
    <row r="9" spans="2:8" x14ac:dyDescent="0.25">
      <c r="B9" t="s">
        <v>169</v>
      </c>
      <c r="C9" t="s">
        <v>8</v>
      </c>
      <c r="D9">
        <v>25</v>
      </c>
      <c r="E9" t="s">
        <v>16</v>
      </c>
      <c r="F9" s="4">
        <v>44144</v>
      </c>
      <c r="G9" t="s">
        <v>19</v>
      </c>
      <c r="H9" s="5">
        <v>92700</v>
      </c>
    </row>
    <row r="10" spans="2:8" x14ac:dyDescent="0.25">
      <c r="B10" t="s">
        <v>145</v>
      </c>
      <c r="D10">
        <v>32</v>
      </c>
      <c r="E10" t="s">
        <v>16</v>
      </c>
      <c r="F10" s="4">
        <v>44713</v>
      </c>
      <c r="G10" t="s">
        <v>12</v>
      </c>
      <c r="H10" s="5">
        <v>91310</v>
      </c>
    </row>
    <row r="11" spans="2:8" x14ac:dyDescent="0.25">
      <c r="B11" t="s">
        <v>115</v>
      </c>
      <c r="C11" t="s">
        <v>15</v>
      </c>
      <c r="D11">
        <v>33</v>
      </c>
      <c r="E11" t="s">
        <v>16</v>
      </c>
      <c r="F11" s="4">
        <v>44324</v>
      </c>
      <c r="G11" t="s">
        <v>19</v>
      </c>
      <c r="H11" s="5">
        <v>74550</v>
      </c>
    </row>
    <row r="12" spans="2:8" x14ac:dyDescent="0.25">
      <c r="B12" t="s">
        <v>128</v>
      </c>
      <c r="C12" t="s">
        <v>15</v>
      </c>
      <c r="D12">
        <v>25</v>
      </c>
      <c r="E12" t="s">
        <v>13</v>
      </c>
      <c r="F12" s="4">
        <v>44665</v>
      </c>
      <c r="G12" t="s">
        <v>9</v>
      </c>
      <c r="H12" s="5">
        <v>109190</v>
      </c>
    </row>
    <row r="13" spans="2:8" x14ac:dyDescent="0.25">
      <c r="B13" t="s">
        <v>194</v>
      </c>
      <c r="C13" t="s">
        <v>8</v>
      </c>
      <c r="D13">
        <v>40</v>
      </c>
      <c r="E13" t="s">
        <v>16</v>
      </c>
      <c r="F13" s="4">
        <v>44320</v>
      </c>
      <c r="G13" t="s">
        <v>12</v>
      </c>
      <c r="H13" s="5">
        <v>104410</v>
      </c>
    </row>
    <row r="14" spans="2:8" x14ac:dyDescent="0.25">
      <c r="B14" t="s">
        <v>177</v>
      </c>
      <c r="C14" t="s">
        <v>15</v>
      </c>
      <c r="D14">
        <v>30</v>
      </c>
      <c r="E14" t="s">
        <v>16</v>
      </c>
      <c r="F14" s="4">
        <v>44544</v>
      </c>
      <c r="G14" t="s">
        <v>21</v>
      </c>
      <c r="H14" s="5">
        <v>96800</v>
      </c>
    </row>
    <row r="15" spans="2:8" x14ac:dyDescent="0.25">
      <c r="B15" t="s">
        <v>123</v>
      </c>
      <c r="C15" t="s">
        <v>15</v>
      </c>
      <c r="D15">
        <v>28</v>
      </c>
      <c r="E15" t="s">
        <v>13</v>
      </c>
      <c r="F15" s="4">
        <v>43980</v>
      </c>
      <c r="G15" t="s">
        <v>21</v>
      </c>
      <c r="H15" s="5">
        <v>48170</v>
      </c>
    </row>
    <row r="16" spans="2:8" x14ac:dyDescent="0.25">
      <c r="B16" t="s">
        <v>140</v>
      </c>
      <c r="C16" t="s">
        <v>15</v>
      </c>
      <c r="D16">
        <v>21</v>
      </c>
      <c r="E16" t="s">
        <v>16</v>
      </c>
      <c r="F16" s="4">
        <v>44042</v>
      </c>
      <c r="G16" t="s">
        <v>9</v>
      </c>
      <c r="H16" s="5">
        <v>37920</v>
      </c>
    </row>
    <row r="17" spans="2:8" x14ac:dyDescent="0.25">
      <c r="B17" t="s">
        <v>178</v>
      </c>
      <c r="C17" t="s">
        <v>15</v>
      </c>
      <c r="D17">
        <v>34</v>
      </c>
      <c r="E17" t="s">
        <v>16</v>
      </c>
      <c r="F17" s="4">
        <v>44642</v>
      </c>
      <c r="G17" t="s">
        <v>9</v>
      </c>
      <c r="H17" s="5">
        <v>112650</v>
      </c>
    </row>
    <row r="18" spans="2:8" x14ac:dyDescent="0.25">
      <c r="B18" t="s">
        <v>165</v>
      </c>
      <c r="C18" t="s">
        <v>8</v>
      </c>
      <c r="D18">
        <v>34</v>
      </c>
      <c r="E18" t="s">
        <v>24</v>
      </c>
      <c r="F18" s="4">
        <v>44660</v>
      </c>
      <c r="G18" t="s">
        <v>19</v>
      </c>
      <c r="H18" s="5">
        <v>49630</v>
      </c>
    </row>
    <row r="19" spans="2:8" x14ac:dyDescent="0.25">
      <c r="B19" t="s">
        <v>199</v>
      </c>
      <c r="C19" t="s">
        <v>15</v>
      </c>
      <c r="D19">
        <v>36</v>
      </c>
      <c r="E19" t="s">
        <v>16</v>
      </c>
      <c r="F19" s="4">
        <v>43958</v>
      </c>
      <c r="G19" t="s">
        <v>12</v>
      </c>
      <c r="H19" s="5">
        <v>118840</v>
      </c>
    </row>
    <row r="20" spans="2:8" x14ac:dyDescent="0.25">
      <c r="B20" t="s">
        <v>159</v>
      </c>
      <c r="C20" t="s">
        <v>15</v>
      </c>
      <c r="D20">
        <v>30</v>
      </c>
      <c r="E20" t="s">
        <v>16</v>
      </c>
      <c r="F20" s="4">
        <v>44789</v>
      </c>
      <c r="G20" t="s">
        <v>12</v>
      </c>
      <c r="H20" s="5">
        <v>69710</v>
      </c>
    </row>
    <row r="21" spans="2:8" x14ac:dyDescent="0.25">
      <c r="B21" t="s">
        <v>197</v>
      </c>
      <c r="C21" t="s">
        <v>15</v>
      </c>
      <c r="D21">
        <v>20</v>
      </c>
      <c r="E21" t="s">
        <v>16</v>
      </c>
      <c r="F21" s="4">
        <v>44683</v>
      </c>
      <c r="G21" t="s">
        <v>9</v>
      </c>
      <c r="H21" s="5">
        <v>79570</v>
      </c>
    </row>
    <row r="22" spans="2:8" x14ac:dyDescent="0.25">
      <c r="B22" t="s">
        <v>154</v>
      </c>
      <c r="C22" t="s">
        <v>8</v>
      </c>
      <c r="D22">
        <v>22</v>
      </c>
      <c r="E22" t="s">
        <v>13</v>
      </c>
      <c r="F22" s="4">
        <v>44388</v>
      </c>
      <c r="G22" t="s">
        <v>9</v>
      </c>
      <c r="H22" s="5">
        <v>76900</v>
      </c>
    </row>
    <row r="23" spans="2:8" x14ac:dyDescent="0.25">
      <c r="B23" t="s">
        <v>182</v>
      </c>
      <c r="C23" t="s">
        <v>15</v>
      </c>
      <c r="D23">
        <v>27</v>
      </c>
      <c r="E23" t="s">
        <v>16</v>
      </c>
      <c r="F23" s="4">
        <v>44073</v>
      </c>
      <c r="G23" t="s">
        <v>19</v>
      </c>
      <c r="H23" s="5">
        <v>54970</v>
      </c>
    </row>
    <row r="24" spans="2:8" x14ac:dyDescent="0.25">
      <c r="B24" t="s">
        <v>118</v>
      </c>
      <c r="C24" t="s">
        <v>15</v>
      </c>
      <c r="D24">
        <v>37</v>
      </c>
      <c r="E24" t="s">
        <v>24</v>
      </c>
      <c r="F24" s="4">
        <v>44277</v>
      </c>
      <c r="G24" t="s">
        <v>12</v>
      </c>
      <c r="H24" s="5">
        <v>88050</v>
      </c>
    </row>
    <row r="25" spans="2:8" x14ac:dyDescent="0.25">
      <c r="B25" t="s">
        <v>192</v>
      </c>
      <c r="C25" t="s">
        <v>15</v>
      </c>
      <c r="D25">
        <v>43</v>
      </c>
      <c r="E25" t="s">
        <v>16</v>
      </c>
      <c r="F25" s="4">
        <v>44558</v>
      </c>
      <c r="G25" t="s">
        <v>19</v>
      </c>
      <c r="H25" s="5">
        <v>36040</v>
      </c>
    </row>
    <row r="26" spans="2:8" x14ac:dyDescent="0.25">
      <c r="B26" t="s">
        <v>111</v>
      </c>
      <c r="C26" t="s">
        <v>8</v>
      </c>
      <c r="D26">
        <v>42</v>
      </c>
      <c r="E26" t="s">
        <v>10</v>
      </c>
      <c r="F26" s="4">
        <v>44718</v>
      </c>
      <c r="G26" t="s">
        <v>9</v>
      </c>
      <c r="H26" s="5">
        <v>75000</v>
      </c>
    </row>
    <row r="27" spans="2:8" x14ac:dyDescent="0.25">
      <c r="B27" t="s">
        <v>149</v>
      </c>
      <c r="C27" t="s">
        <v>15</v>
      </c>
      <c r="D27">
        <v>35</v>
      </c>
      <c r="E27" t="s">
        <v>16</v>
      </c>
      <c r="F27" s="4">
        <v>44666</v>
      </c>
      <c r="G27" t="s">
        <v>9</v>
      </c>
      <c r="H27" s="5">
        <v>40400</v>
      </c>
    </row>
    <row r="28" spans="2:8" x14ac:dyDescent="0.25">
      <c r="B28" t="s">
        <v>196</v>
      </c>
      <c r="C28" t="s">
        <v>15</v>
      </c>
      <c r="D28">
        <v>24</v>
      </c>
      <c r="E28" t="s">
        <v>16</v>
      </c>
      <c r="F28" s="4">
        <v>44625</v>
      </c>
      <c r="G28" t="s">
        <v>12</v>
      </c>
      <c r="H28" s="5">
        <v>100420</v>
      </c>
    </row>
    <row r="29" spans="2:8" x14ac:dyDescent="0.25">
      <c r="B29" t="s">
        <v>120</v>
      </c>
      <c r="C29" t="s">
        <v>8</v>
      </c>
      <c r="D29">
        <v>31</v>
      </c>
      <c r="E29" t="s">
        <v>16</v>
      </c>
      <c r="F29" s="4">
        <v>44604</v>
      </c>
      <c r="G29" t="s">
        <v>12</v>
      </c>
      <c r="H29" s="5">
        <v>58100</v>
      </c>
    </row>
    <row r="30" spans="2:8" x14ac:dyDescent="0.25">
      <c r="B30" t="s">
        <v>114</v>
      </c>
      <c r="C30" t="s">
        <v>8</v>
      </c>
      <c r="D30">
        <v>44</v>
      </c>
      <c r="E30" t="s">
        <v>16</v>
      </c>
      <c r="F30" s="4">
        <v>44985</v>
      </c>
      <c r="G30" t="s">
        <v>12</v>
      </c>
      <c r="H30" s="5">
        <v>114870</v>
      </c>
    </row>
    <row r="31" spans="2:8" x14ac:dyDescent="0.25">
      <c r="B31" t="s">
        <v>158</v>
      </c>
      <c r="C31" t="s">
        <v>8</v>
      </c>
      <c r="D31">
        <v>32</v>
      </c>
      <c r="E31" t="s">
        <v>16</v>
      </c>
      <c r="F31" s="4">
        <v>44549</v>
      </c>
      <c r="G31" t="s">
        <v>9</v>
      </c>
      <c r="H31" s="5">
        <v>41570</v>
      </c>
    </row>
    <row r="32" spans="2:8" x14ac:dyDescent="0.25">
      <c r="B32" t="s">
        <v>173</v>
      </c>
      <c r="C32" t="s">
        <v>8</v>
      </c>
      <c r="D32">
        <v>30</v>
      </c>
      <c r="E32" t="s">
        <v>16</v>
      </c>
      <c r="F32" s="4">
        <v>44800</v>
      </c>
      <c r="G32" t="s">
        <v>9</v>
      </c>
      <c r="H32" s="5">
        <v>112570</v>
      </c>
    </row>
    <row r="33" spans="2:8" x14ac:dyDescent="0.25">
      <c r="B33" t="s">
        <v>151</v>
      </c>
      <c r="C33" t="s">
        <v>15</v>
      </c>
      <c r="D33">
        <v>26</v>
      </c>
      <c r="E33" t="s">
        <v>16</v>
      </c>
      <c r="F33" s="4">
        <v>44164</v>
      </c>
      <c r="G33" t="s">
        <v>9</v>
      </c>
      <c r="H33" s="5">
        <v>47360</v>
      </c>
    </row>
    <row r="34" spans="2:8" x14ac:dyDescent="0.25">
      <c r="B34" t="s">
        <v>126</v>
      </c>
      <c r="C34" t="s">
        <v>8</v>
      </c>
      <c r="D34">
        <v>21</v>
      </c>
      <c r="E34" t="s">
        <v>16</v>
      </c>
      <c r="F34" s="4">
        <v>44256</v>
      </c>
      <c r="G34" t="s">
        <v>21</v>
      </c>
      <c r="H34" s="5">
        <v>65920</v>
      </c>
    </row>
    <row r="35" spans="2:8" x14ac:dyDescent="0.25">
      <c r="B35" t="s">
        <v>200</v>
      </c>
      <c r="C35" t="s">
        <v>8</v>
      </c>
      <c r="D35">
        <v>28</v>
      </c>
      <c r="E35" t="s">
        <v>16</v>
      </c>
      <c r="F35" s="4">
        <v>44571</v>
      </c>
      <c r="G35" t="s">
        <v>9</v>
      </c>
      <c r="H35" s="5">
        <v>99970</v>
      </c>
    </row>
    <row r="36" spans="2:8" x14ac:dyDescent="0.25">
      <c r="B36" t="s">
        <v>133</v>
      </c>
      <c r="C36" t="s">
        <v>8</v>
      </c>
      <c r="D36">
        <v>25</v>
      </c>
      <c r="E36" t="s">
        <v>13</v>
      </c>
      <c r="F36" s="4">
        <v>44633</v>
      </c>
      <c r="G36" t="s">
        <v>12</v>
      </c>
      <c r="H36" s="5">
        <v>80700</v>
      </c>
    </row>
    <row r="37" spans="2:8" x14ac:dyDescent="0.25">
      <c r="B37" t="s">
        <v>155</v>
      </c>
      <c r="C37" t="s">
        <v>15</v>
      </c>
      <c r="D37">
        <v>24</v>
      </c>
      <c r="E37" t="s">
        <v>24</v>
      </c>
      <c r="F37" s="4">
        <v>44375</v>
      </c>
      <c r="G37" t="s">
        <v>21</v>
      </c>
      <c r="H37" s="5">
        <v>52610</v>
      </c>
    </row>
    <row r="38" spans="2:8" x14ac:dyDescent="0.25">
      <c r="B38" t="s">
        <v>180</v>
      </c>
      <c r="C38" t="s">
        <v>15</v>
      </c>
      <c r="D38">
        <v>29</v>
      </c>
      <c r="E38" t="s">
        <v>24</v>
      </c>
      <c r="F38" s="4">
        <v>44119</v>
      </c>
      <c r="G38" t="s">
        <v>12</v>
      </c>
      <c r="H38" s="5">
        <v>112110</v>
      </c>
    </row>
    <row r="39" spans="2:8" x14ac:dyDescent="0.25">
      <c r="B39" t="s">
        <v>152</v>
      </c>
      <c r="C39" t="s">
        <v>8</v>
      </c>
      <c r="D39">
        <v>27</v>
      </c>
      <c r="E39" t="s">
        <v>16</v>
      </c>
      <c r="F39" s="4">
        <v>44061</v>
      </c>
      <c r="G39" t="s">
        <v>56</v>
      </c>
      <c r="H39" s="5">
        <v>119110</v>
      </c>
    </row>
    <row r="40" spans="2:8" x14ac:dyDescent="0.25">
      <c r="B40" t="s">
        <v>150</v>
      </c>
      <c r="C40" t="s">
        <v>15</v>
      </c>
      <c r="D40">
        <v>22</v>
      </c>
      <c r="E40" t="s">
        <v>13</v>
      </c>
      <c r="F40" s="4">
        <v>44384</v>
      </c>
      <c r="G40" t="s">
        <v>19</v>
      </c>
      <c r="H40" s="5">
        <v>112780</v>
      </c>
    </row>
    <row r="41" spans="2:8" x14ac:dyDescent="0.25">
      <c r="B41" t="s">
        <v>175</v>
      </c>
      <c r="C41" t="s">
        <v>8</v>
      </c>
      <c r="D41">
        <v>36</v>
      </c>
      <c r="E41" t="s">
        <v>16</v>
      </c>
      <c r="F41" s="4">
        <v>44023</v>
      </c>
      <c r="G41" t="s">
        <v>9</v>
      </c>
      <c r="H41" s="5">
        <v>114890</v>
      </c>
    </row>
    <row r="42" spans="2:8" x14ac:dyDescent="0.25">
      <c r="B42" t="s">
        <v>146</v>
      </c>
      <c r="C42" t="s">
        <v>15</v>
      </c>
      <c r="D42">
        <v>27</v>
      </c>
      <c r="E42" t="s">
        <v>16</v>
      </c>
      <c r="F42" s="4">
        <v>44506</v>
      </c>
      <c r="G42" t="s">
        <v>21</v>
      </c>
      <c r="H42" s="5">
        <v>48980</v>
      </c>
    </row>
    <row r="43" spans="2:8" x14ac:dyDescent="0.25">
      <c r="B43" t="s">
        <v>170</v>
      </c>
      <c r="C43" t="s">
        <v>15</v>
      </c>
      <c r="D43">
        <v>21</v>
      </c>
      <c r="E43" t="s">
        <v>16</v>
      </c>
      <c r="F43" s="4">
        <v>44180</v>
      </c>
      <c r="G43" t="s">
        <v>56</v>
      </c>
      <c r="H43" s="5">
        <v>75880</v>
      </c>
    </row>
    <row r="44" spans="2:8" x14ac:dyDescent="0.25">
      <c r="B44" t="s">
        <v>167</v>
      </c>
      <c r="C44" t="s">
        <v>8</v>
      </c>
      <c r="D44">
        <v>28</v>
      </c>
      <c r="E44" t="s">
        <v>16</v>
      </c>
      <c r="F44" s="4">
        <v>44296</v>
      </c>
      <c r="G44" t="s">
        <v>19</v>
      </c>
      <c r="H44" s="5">
        <v>53240</v>
      </c>
    </row>
    <row r="45" spans="2:8" x14ac:dyDescent="0.25">
      <c r="B45" t="s">
        <v>122</v>
      </c>
      <c r="C45" t="s">
        <v>8</v>
      </c>
      <c r="D45">
        <v>34</v>
      </c>
      <c r="E45" t="s">
        <v>16</v>
      </c>
      <c r="F45" s="4">
        <v>44397</v>
      </c>
      <c r="G45" t="s">
        <v>21</v>
      </c>
      <c r="H45" s="5">
        <v>85000</v>
      </c>
    </row>
    <row r="46" spans="2:8" x14ac:dyDescent="0.25">
      <c r="B46" t="s">
        <v>179</v>
      </c>
      <c r="C46" t="s">
        <v>8</v>
      </c>
      <c r="D46">
        <v>21</v>
      </c>
      <c r="E46" t="s">
        <v>16</v>
      </c>
      <c r="F46" s="4">
        <v>44619</v>
      </c>
      <c r="G46" t="s">
        <v>12</v>
      </c>
      <c r="H46" s="5">
        <v>33920</v>
      </c>
    </row>
    <row r="47" spans="2:8" x14ac:dyDescent="0.25">
      <c r="B47" t="s">
        <v>188</v>
      </c>
      <c r="C47" t="s">
        <v>8</v>
      </c>
      <c r="D47">
        <v>33</v>
      </c>
      <c r="E47" t="s">
        <v>16</v>
      </c>
      <c r="F47" s="4">
        <v>44253</v>
      </c>
      <c r="G47" t="s">
        <v>12</v>
      </c>
      <c r="H47" s="5">
        <v>75280</v>
      </c>
    </row>
    <row r="48" spans="2:8" x14ac:dyDescent="0.25">
      <c r="B48" t="s">
        <v>130</v>
      </c>
      <c r="C48" t="s">
        <v>8</v>
      </c>
      <c r="D48">
        <v>34</v>
      </c>
      <c r="E48" t="s">
        <v>16</v>
      </c>
      <c r="F48" s="4">
        <v>44594</v>
      </c>
      <c r="G48" t="s">
        <v>21</v>
      </c>
      <c r="H48" s="5">
        <v>58940</v>
      </c>
    </row>
    <row r="49" spans="2:8" x14ac:dyDescent="0.25">
      <c r="B49" t="s">
        <v>136</v>
      </c>
      <c r="C49" t="s">
        <v>8</v>
      </c>
      <c r="D49">
        <v>28</v>
      </c>
      <c r="E49" t="s">
        <v>16</v>
      </c>
      <c r="F49" s="4">
        <v>44425</v>
      </c>
      <c r="G49" t="s">
        <v>9</v>
      </c>
      <c r="H49" s="5">
        <v>104770</v>
      </c>
    </row>
    <row r="50" spans="2:8" x14ac:dyDescent="0.25">
      <c r="B50" t="s">
        <v>125</v>
      </c>
      <c r="C50" t="s">
        <v>15</v>
      </c>
      <c r="D50">
        <v>21</v>
      </c>
      <c r="E50" t="s">
        <v>16</v>
      </c>
      <c r="F50" s="4">
        <v>44701</v>
      </c>
      <c r="G50" t="s">
        <v>9</v>
      </c>
      <c r="H50" s="5">
        <v>57090</v>
      </c>
    </row>
    <row r="51" spans="2:8" x14ac:dyDescent="0.25">
      <c r="B51" t="s">
        <v>160</v>
      </c>
      <c r="C51" t="s">
        <v>15</v>
      </c>
      <c r="D51">
        <v>27</v>
      </c>
      <c r="E51" t="s">
        <v>13</v>
      </c>
      <c r="F51" s="4">
        <v>44174</v>
      </c>
      <c r="G51" t="s">
        <v>21</v>
      </c>
      <c r="H51" s="5">
        <v>91650</v>
      </c>
    </row>
    <row r="52" spans="2:8" x14ac:dyDescent="0.25">
      <c r="B52" t="s">
        <v>183</v>
      </c>
      <c r="C52" t="s">
        <v>15</v>
      </c>
      <c r="D52">
        <v>42</v>
      </c>
      <c r="E52" t="s">
        <v>24</v>
      </c>
      <c r="F52" s="4">
        <v>44670</v>
      </c>
      <c r="G52" t="s">
        <v>21</v>
      </c>
      <c r="H52" s="5">
        <v>70270</v>
      </c>
    </row>
    <row r="53" spans="2:8" x14ac:dyDescent="0.25">
      <c r="B53" t="s">
        <v>129</v>
      </c>
      <c r="C53" t="s">
        <v>8</v>
      </c>
      <c r="D53">
        <v>28</v>
      </c>
      <c r="E53" t="s">
        <v>16</v>
      </c>
      <c r="F53" s="4">
        <v>44124</v>
      </c>
      <c r="G53" t="s">
        <v>21</v>
      </c>
      <c r="H53" s="5">
        <v>75970</v>
      </c>
    </row>
    <row r="54" spans="2:8" x14ac:dyDescent="0.25">
      <c r="B54" t="s">
        <v>112</v>
      </c>
      <c r="D54">
        <v>27</v>
      </c>
      <c r="E54" t="s">
        <v>13</v>
      </c>
      <c r="F54" s="4">
        <v>44212</v>
      </c>
      <c r="G54" t="s">
        <v>12</v>
      </c>
      <c r="H54" s="5">
        <v>90700</v>
      </c>
    </row>
    <row r="55" spans="2:8" x14ac:dyDescent="0.25">
      <c r="B55" t="s">
        <v>131</v>
      </c>
      <c r="C55" t="s">
        <v>15</v>
      </c>
      <c r="D55">
        <v>30</v>
      </c>
      <c r="E55" t="s">
        <v>16</v>
      </c>
      <c r="F55" s="4">
        <v>44607</v>
      </c>
      <c r="G55" t="s">
        <v>9</v>
      </c>
      <c r="H55" s="5">
        <v>60570</v>
      </c>
    </row>
    <row r="56" spans="2:8" x14ac:dyDescent="0.25">
      <c r="B56" t="s">
        <v>134</v>
      </c>
      <c r="C56" t="s">
        <v>15</v>
      </c>
      <c r="D56">
        <v>33</v>
      </c>
      <c r="E56" t="s">
        <v>16</v>
      </c>
      <c r="F56" s="4">
        <v>44103</v>
      </c>
      <c r="G56" t="s">
        <v>9</v>
      </c>
      <c r="H56" s="5">
        <v>115920</v>
      </c>
    </row>
    <row r="57" spans="2:8" x14ac:dyDescent="0.25">
      <c r="B57" t="s">
        <v>186</v>
      </c>
      <c r="C57" t="s">
        <v>8</v>
      </c>
      <c r="D57">
        <v>33</v>
      </c>
      <c r="E57" t="s">
        <v>16</v>
      </c>
      <c r="F57" s="4">
        <v>44006</v>
      </c>
      <c r="G57" t="s">
        <v>21</v>
      </c>
      <c r="H57" s="5">
        <v>65360</v>
      </c>
    </row>
    <row r="58" spans="2:8" x14ac:dyDescent="0.25">
      <c r="B58" t="s">
        <v>116</v>
      </c>
      <c r="D58">
        <v>30</v>
      </c>
      <c r="E58" t="s">
        <v>16</v>
      </c>
      <c r="F58" s="4">
        <v>44535</v>
      </c>
      <c r="G58" t="s">
        <v>21</v>
      </c>
      <c r="H58" s="5">
        <v>64000</v>
      </c>
    </row>
    <row r="59" spans="2:8" x14ac:dyDescent="0.25">
      <c r="B59" t="s">
        <v>195</v>
      </c>
      <c r="C59" t="s">
        <v>8</v>
      </c>
      <c r="D59">
        <v>34</v>
      </c>
      <c r="E59" t="s">
        <v>16</v>
      </c>
      <c r="F59" s="4">
        <v>44383</v>
      </c>
      <c r="G59" t="s">
        <v>21</v>
      </c>
      <c r="H59" s="5">
        <v>92450</v>
      </c>
    </row>
    <row r="60" spans="2:8" x14ac:dyDescent="0.25">
      <c r="B60" t="s">
        <v>113</v>
      </c>
      <c r="C60" t="s">
        <v>15</v>
      </c>
      <c r="D60">
        <v>31</v>
      </c>
      <c r="E60" t="s">
        <v>16</v>
      </c>
      <c r="F60" s="4">
        <v>44450</v>
      </c>
      <c r="G60" t="s">
        <v>12</v>
      </c>
      <c r="H60" s="5">
        <v>48950</v>
      </c>
    </row>
    <row r="61" spans="2:8" x14ac:dyDescent="0.25">
      <c r="B61" t="s">
        <v>185</v>
      </c>
      <c r="C61" t="s">
        <v>8</v>
      </c>
      <c r="D61">
        <v>27</v>
      </c>
      <c r="E61" t="s">
        <v>16</v>
      </c>
      <c r="F61" s="4">
        <v>44625</v>
      </c>
      <c r="G61" t="s">
        <v>12</v>
      </c>
      <c r="H61" s="5">
        <v>83750</v>
      </c>
    </row>
    <row r="62" spans="2:8" x14ac:dyDescent="0.25">
      <c r="B62" t="s">
        <v>166</v>
      </c>
      <c r="C62" t="s">
        <v>8</v>
      </c>
      <c r="D62">
        <v>40</v>
      </c>
      <c r="E62" t="s">
        <v>16</v>
      </c>
      <c r="F62" s="4">
        <v>44276</v>
      </c>
      <c r="G62" t="s">
        <v>12</v>
      </c>
      <c r="H62" s="5">
        <v>87620</v>
      </c>
    </row>
    <row r="63" spans="2:8" x14ac:dyDescent="0.25">
      <c r="B63" t="s">
        <v>184</v>
      </c>
      <c r="C63" t="s">
        <v>8</v>
      </c>
      <c r="D63">
        <v>20</v>
      </c>
      <c r="E63" t="s">
        <v>24</v>
      </c>
      <c r="F63" s="4">
        <v>44476</v>
      </c>
      <c r="G63" t="s">
        <v>19</v>
      </c>
      <c r="H63" s="5">
        <v>68900</v>
      </c>
    </row>
    <row r="64" spans="2:8" x14ac:dyDescent="0.25">
      <c r="B64" t="s">
        <v>157</v>
      </c>
      <c r="C64" t="s">
        <v>15</v>
      </c>
      <c r="D64">
        <v>32</v>
      </c>
      <c r="E64" t="s">
        <v>16</v>
      </c>
      <c r="F64" s="4">
        <v>44403</v>
      </c>
      <c r="G64" t="s">
        <v>19</v>
      </c>
      <c r="H64" s="5">
        <v>53540</v>
      </c>
    </row>
    <row r="65" spans="2:8" x14ac:dyDescent="0.25">
      <c r="B65" t="s">
        <v>172</v>
      </c>
      <c r="C65" t="s">
        <v>15</v>
      </c>
      <c r="D65">
        <v>28</v>
      </c>
      <c r="E65" t="s">
        <v>42</v>
      </c>
      <c r="F65" s="4">
        <v>44758</v>
      </c>
      <c r="G65" t="s">
        <v>19</v>
      </c>
      <c r="H65" s="5">
        <v>43510</v>
      </c>
    </row>
    <row r="66" spans="2:8" x14ac:dyDescent="0.25">
      <c r="B66" t="s">
        <v>127</v>
      </c>
      <c r="C66" t="s">
        <v>8</v>
      </c>
      <c r="D66">
        <v>38</v>
      </c>
      <c r="E66" t="s">
        <v>10</v>
      </c>
      <c r="F66" s="4">
        <v>44316</v>
      </c>
      <c r="G66" t="s">
        <v>19</v>
      </c>
      <c r="H66" s="5">
        <v>109160</v>
      </c>
    </row>
    <row r="67" spans="2:8" x14ac:dyDescent="0.25">
      <c r="B67" t="s">
        <v>198</v>
      </c>
      <c r="C67" t="s">
        <v>15</v>
      </c>
      <c r="D67">
        <v>40</v>
      </c>
      <c r="E67" t="s">
        <v>16</v>
      </c>
      <c r="F67" s="4">
        <v>44204</v>
      </c>
      <c r="G67" t="s">
        <v>9</v>
      </c>
      <c r="H67" s="5">
        <v>99750</v>
      </c>
    </row>
    <row r="68" spans="2:8" x14ac:dyDescent="0.25">
      <c r="B68" t="s">
        <v>124</v>
      </c>
      <c r="C68" t="s">
        <v>8</v>
      </c>
      <c r="D68">
        <v>31</v>
      </c>
      <c r="E68" t="s">
        <v>16</v>
      </c>
      <c r="F68" s="4">
        <v>44084</v>
      </c>
      <c r="G68" t="s">
        <v>12</v>
      </c>
      <c r="H68" s="5">
        <v>41980</v>
      </c>
    </row>
    <row r="69" spans="2:8" x14ac:dyDescent="0.25">
      <c r="B69" t="s">
        <v>187</v>
      </c>
      <c r="C69" t="s">
        <v>15</v>
      </c>
      <c r="D69">
        <v>36</v>
      </c>
      <c r="E69" t="s">
        <v>16</v>
      </c>
      <c r="F69" s="4">
        <v>44272</v>
      </c>
      <c r="G69" t="s">
        <v>21</v>
      </c>
      <c r="H69" s="5">
        <v>71380</v>
      </c>
    </row>
    <row r="70" spans="2:8" x14ac:dyDescent="0.25">
      <c r="B70" t="s">
        <v>191</v>
      </c>
      <c r="C70" t="s">
        <v>15</v>
      </c>
      <c r="D70">
        <v>27</v>
      </c>
      <c r="E70" t="s">
        <v>42</v>
      </c>
      <c r="F70" s="4">
        <v>44547</v>
      </c>
      <c r="G70" t="s">
        <v>9</v>
      </c>
      <c r="H70" s="5">
        <v>113280</v>
      </c>
    </row>
    <row r="71" spans="2:8" x14ac:dyDescent="0.25">
      <c r="B71" t="s">
        <v>181</v>
      </c>
      <c r="C71" t="s">
        <v>8</v>
      </c>
      <c r="D71">
        <v>33</v>
      </c>
      <c r="E71" t="s">
        <v>16</v>
      </c>
      <c r="F71" s="4">
        <v>44747</v>
      </c>
      <c r="G71" t="s">
        <v>21</v>
      </c>
      <c r="H71" s="5">
        <v>86570</v>
      </c>
    </row>
    <row r="72" spans="2:8" x14ac:dyDescent="0.25">
      <c r="B72" t="s">
        <v>139</v>
      </c>
      <c r="C72" t="s">
        <v>15</v>
      </c>
      <c r="D72">
        <v>26</v>
      </c>
      <c r="E72" t="s">
        <v>16</v>
      </c>
      <c r="F72" s="4">
        <v>44350</v>
      </c>
      <c r="G72" t="s">
        <v>9</v>
      </c>
      <c r="H72" s="5">
        <v>53540</v>
      </c>
    </row>
    <row r="73" spans="2:8" x14ac:dyDescent="0.25">
      <c r="B73" t="s">
        <v>190</v>
      </c>
      <c r="C73" t="s">
        <v>15</v>
      </c>
      <c r="D73">
        <v>37</v>
      </c>
      <c r="E73" t="s">
        <v>16</v>
      </c>
      <c r="F73" s="4">
        <v>44640</v>
      </c>
      <c r="G73" t="s">
        <v>12</v>
      </c>
      <c r="H73" s="5">
        <v>69070</v>
      </c>
    </row>
    <row r="74" spans="2:8" x14ac:dyDescent="0.25">
      <c r="B74" t="s">
        <v>121</v>
      </c>
      <c r="C74" t="s">
        <v>8</v>
      </c>
      <c r="D74">
        <v>30</v>
      </c>
      <c r="E74" t="s">
        <v>24</v>
      </c>
      <c r="F74" s="4">
        <v>44328</v>
      </c>
      <c r="G74" t="s">
        <v>21</v>
      </c>
      <c r="H74" s="5">
        <v>67910</v>
      </c>
    </row>
    <row r="75" spans="2:8" x14ac:dyDescent="0.25">
      <c r="B75" t="s">
        <v>119</v>
      </c>
      <c r="C75" t="s">
        <v>15</v>
      </c>
      <c r="D75">
        <v>30</v>
      </c>
      <c r="E75" t="s">
        <v>16</v>
      </c>
      <c r="F75" s="4">
        <v>44214</v>
      </c>
      <c r="G75" t="s">
        <v>12</v>
      </c>
      <c r="H75" s="5">
        <v>69120</v>
      </c>
    </row>
    <row r="76" spans="2:8" x14ac:dyDescent="0.25">
      <c r="B76" t="s">
        <v>132</v>
      </c>
      <c r="C76" t="s">
        <v>8</v>
      </c>
      <c r="D76">
        <v>34</v>
      </c>
      <c r="E76" t="s">
        <v>16</v>
      </c>
      <c r="F76" s="4">
        <v>44550</v>
      </c>
      <c r="G76" t="s">
        <v>21</v>
      </c>
      <c r="H76" s="5">
        <v>60130</v>
      </c>
    </row>
    <row r="77" spans="2:8" x14ac:dyDescent="0.25">
      <c r="B77" t="s">
        <v>161</v>
      </c>
      <c r="C77" t="s">
        <v>15</v>
      </c>
      <c r="D77">
        <v>23</v>
      </c>
      <c r="E77" t="s">
        <v>16</v>
      </c>
      <c r="F77" s="4">
        <v>44378</v>
      </c>
      <c r="G77" t="s">
        <v>9</v>
      </c>
      <c r="H77" s="5">
        <v>106460</v>
      </c>
    </row>
    <row r="78" spans="2:8" x14ac:dyDescent="0.25">
      <c r="B78" t="s">
        <v>148</v>
      </c>
      <c r="C78" t="s">
        <v>8</v>
      </c>
      <c r="D78">
        <v>37</v>
      </c>
      <c r="E78" t="s">
        <v>16</v>
      </c>
      <c r="F78" s="4">
        <v>44389</v>
      </c>
      <c r="G78" t="s">
        <v>56</v>
      </c>
      <c r="H78" s="5">
        <v>118100</v>
      </c>
    </row>
    <row r="79" spans="2:8" x14ac:dyDescent="0.25">
      <c r="B79" t="s">
        <v>164</v>
      </c>
      <c r="C79" t="s">
        <v>8</v>
      </c>
      <c r="D79">
        <v>36</v>
      </c>
      <c r="E79" t="s">
        <v>16</v>
      </c>
      <c r="F79" s="4">
        <v>44468</v>
      </c>
      <c r="G79" t="s">
        <v>9</v>
      </c>
      <c r="H79" s="5">
        <v>78390</v>
      </c>
    </row>
    <row r="80" spans="2:8" x14ac:dyDescent="0.25">
      <c r="B80" t="s">
        <v>147</v>
      </c>
      <c r="C80" t="s">
        <v>8</v>
      </c>
      <c r="D80">
        <v>30</v>
      </c>
      <c r="E80" t="s">
        <v>16</v>
      </c>
      <c r="F80" s="4">
        <v>44789</v>
      </c>
      <c r="G80" t="s">
        <v>9</v>
      </c>
      <c r="H80" s="5">
        <v>114180</v>
      </c>
    </row>
    <row r="81" spans="2:8" x14ac:dyDescent="0.25">
      <c r="B81" t="s">
        <v>189</v>
      </c>
      <c r="C81" t="s">
        <v>8</v>
      </c>
      <c r="D81">
        <v>28</v>
      </c>
      <c r="E81" t="s">
        <v>16</v>
      </c>
      <c r="F81" s="4">
        <v>44590</v>
      </c>
      <c r="G81" t="s">
        <v>9</v>
      </c>
      <c r="H81" s="5">
        <v>104120</v>
      </c>
    </row>
    <row r="82" spans="2:8" x14ac:dyDescent="0.25">
      <c r="B82" t="s">
        <v>138</v>
      </c>
      <c r="C82" t="s">
        <v>15</v>
      </c>
      <c r="D82">
        <v>30</v>
      </c>
      <c r="E82" t="s">
        <v>16</v>
      </c>
      <c r="F82" s="4">
        <v>44640</v>
      </c>
      <c r="G82" t="s">
        <v>9</v>
      </c>
      <c r="H82" s="5">
        <v>67950</v>
      </c>
    </row>
    <row r="83" spans="2:8" x14ac:dyDescent="0.25">
      <c r="B83" t="s">
        <v>137</v>
      </c>
      <c r="C83" t="s">
        <v>8</v>
      </c>
      <c r="D83">
        <v>29</v>
      </c>
      <c r="E83" t="s">
        <v>16</v>
      </c>
      <c r="F83" s="4">
        <v>43962</v>
      </c>
      <c r="G83" t="s">
        <v>12</v>
      </c>
      <c r="H83" s="5">
        <v>34980</v>
      </c>
    </row>
    <row r="84" spans="2:8" x14ac:dyDescent="0.25">
      <c r="B84" t="s">
        <v>153</v>
      </c>
      <c r="C84" t="s">
        <v>8</v>
      </c>
      <c r="D84">
        <v>24</v>
      </c>
      <c r="E84" t="s">
        <v>16</v>
      </c>
      <c r="F84" s="4">
        <v>44087</v>
      </c>
      <c r="G84" t="s">
        <v>12</v>
      </c>
      <c r="H84" s="5">
        <v>62780</v>
      </c>
    </row>
    <row r="85" spans="2:8" x14ac:dyDescent="0.25">
      <c r="B85" t="s">
        <v>117</v>
      </c>
      <c r="C85" t="s">
        <v>15</v>
      </c>
      <c r="D85">
        <v>20</v>
      </c>
      <c r="E85" t="s">
        <v>16</v>
      </c>
      <c r="F85" s="4">
        <v>44397</v>
      </c>
      <c r="G85" t="s">
        <v>12</v>
      </c>
      <c r="H85" s="5">
        <v>107700</v>
      </c>
    </row>
    <row r="86" spans="2:8" x14ac:dyDescent="0.25">
      <c r="B86" t="s">
        <v>168</v>
      </c>
      <c r="C86" t="s">
        <v>15</v>
      </c>
      <c r="D86">
        <v>25</v>
      </c>
      <c r="E86" t="s">
        <v>16</v>
      </c>
      <c r="F86" s="4">
        <v>44322</v>
      </c>
      <c r="G86" t="s">
        <v>19</v>
      </c>
      <c r="H86" s="5">
        <v>65700</v>
      </c>
    </row>
    <row r="87" spans="2:8" x14ac:dyDescent="0.25">
      <c r="B87" t="s">
        <v>135</v>
      </c>
      <c r="C87" t="s">
        <v>8</v>
      </c>
      <c r="D87">
        <v>33</v>
      </c>
      <c r="E87" t="s">
        <v>42</v>
      </c>
      <c r="F87" s="4">
        <v>44313</v>
      </c>
      <c r="G87" t="s">
        <v>12</v>
      </c>
      <c r="H87" s="5">
        <v>75480</v>
      </c>
    </row>
    <row r="88" spans="2:8" x14ac:dyDescent="0.25">
      <c r="B88" t="s">
        <v>174</v>
      </c>
      <c r="C88" t="s">
        <v>15</v>
      </c>
      <c r="D88">
        <v>33</v>
      </c>
      <c r="E88" t="s">
        <v>16</v>
      </c>
      <c r="F88" s="4">
        <v>44448</v>
      </c>
      <c r="G88" t="s">
        <v>12</v>
      </c>
      <c r="H88" s="5">
        <v>53870</v>
      </c>
    </row>
    <row r="89" spans="2:8" x14ac:dyDescent="0.25">
      <c r="B89" t="s">
        <v>141</v>
      </c>
      <c r="C89" t="s">
        <v>8</v>
      </c>
      <c r="D89">
        <v>36</v>
      </c>
      <c r="E89" t="s">
        <v>16</v>
      </c>
      <c r="F89" s="4">
        <v>44433</v>
      </c>
      <c r="G89" t="s">
        <v>19</v>
      </c>
      <c r="H89" s="5">
        <v>78540</v>
      </c>
    </row>
    <row r="90" spans="2:8" x14ac:dyDescent="0.25">
      <c r="B90" t="s">
        <v>193</v>
      </c>
      <c r="C90" t="s">
        <v>15</v>
      </c>
      <c r="D90">
        <v>19</v>
      </c>
      <c r="E90" t="s">
        <v>16</v>
      </c>
      <c r="F90" s="4">
        <v>44218</v>
      </c>
      <c r="G90" t="s">
        <v>9</v>
      </c>
      <c r="H90" s="5">
        <v>58960</v>
      </c>
    </row>
    <row r="91" spans="2:8" x14ac:dyDescent="0.25">
      <c r="B91" t="s">
        <v>162</v>
      </c>
      <c r="C91" t="s">
        <v>15</v>
      </c>
      <c r="D91">
        <v>46</v>
      </c>
      <c r="E91" t="s">
        <v>16</v>
      </c>
      <c r="F91" s="4">
        <v>44697</v>
      </c>
      <c r="G91" t="s">
        <v>9</v>
      </c>
      <c r="H91" s="5">
        <v>70610</v>
      </c>
    </row>
    <row r="92" spans="2:8" x14ac:dyDescent="0.25">
      <c r="B92" t="s">
        <v>171</v>
      </c>
      <c r="C92" t="s">
        <v>15</v>
      </c>
      <c r="D92">
        <v>33</v>
      </c>
      <c r="E92" t="s">
        <v>16</v>
      </c>
      <c r="F92" s="4">
        <v>44181</v>
      </c>
      <c r="G92" t="s">
        <v>21</v>
      </c>
      <c r="H92" s="5">
        <v>59430</v>
      </c>
    </row>
    <row r="93" spans="2:8" x14ac:dyDescent="0.25">
      <c r="B93" t="s">
        <v>144</v>
      </c>
      <c r="C93" t="s">
        <v>15</v>
      </c>
      <c r="D93">
        <v>33</v>
      </c>
      <c r="E93" t="s">
        <v>13</v>
      </c>
      <c r="F93" s="4">
        <v>44640</v>
      </c>
      <c r="G93" t="s">
        <v>9</v>
      </c>
      <c r="H93" s="5">
        <v>48530</v>
      </c>
    </row>
    <row r="94" spans="2:8" x14ac:dyDescent="0.25">
      <c r="B94" t="s">
        <v>163</v>
      </c>
      <c r="C94" t="s">
        <v>8</v>
      </c>
      <c r="D94">
        <v>33</v>
      </c>
      <c r="E94" t="s">
        <v>16</v>
      </c>
      <c r="F94" s="4">
        <v>44129</v>
      </c>
      <c r="G94" t="s">
        <v>12</v>
      </c>
      <c r="H94" s="5">
        <v>96140</v>
      </c>
    </row>
    <row r="95" spans="2:8" x14ac:dyDescent="0.25">
      <c r="B95" t="s">
        <v>156</v>
      </c>
      <c r="C95" t="s">
        <v>15</v>
      </c>
      <c r="D95">
        <v>20</v>
      </c>
      <c r="E95" t="s">
        <v>16</v>
      </c>
      <c r="F95" s="4">
        <v>44122</v>
      </c>
      <c r="G95" t="s">
        <v>12</v>
      </c>
      <c r="H95" s="5">
        <v>112650</v>
      </c>
    </row>
    <row r="96" spans="2:8" x14ac:dyDescent="0.25">
      <c r="B96" t="s">
        <v>176</v>
      </c>
      <c r="C96" t="s">
        <v>8</v>
      </c>
      <c r="D96">
        <v>32</v>
      </c>
      <c r="E96" t="s">
        <v>13</v>
      </c>
      <c r="F96" s="4">
        <v>44293</v>
      </c>
      <c r="G96" t="s">
        <v>12</v>
      </c>
      <c r="H96" s="5">
        <v>43840</v>
      </c>
    </row>
    <row r="97" spans="2:8" x14ac:dyDescent="0.25">
      <c r="B97" t="s">
        <v>143</v>
      </c>
      <c r="C97" t="s">
        <v>15</v>
      </c>
      <c r="D97">
        <v>31</v>
      </c>
      <c r="E97" t="s">
        <v>16</v>
      </c>
      <c r="F97" s="4">
        <v>44663</v>
      </c>
      <c r="G97" t="s">
        <v>9</v>
      </c>
      <c r="H97" s="5">
        <v>103550</v>
      </c>
    </row>
    <row r="98" spans="2:8" x14ac:dyDescent="0.25">
      <c r="B98" t="s">
        <v>201</v>
      </c>
      <c r="C98" t="s">
        <v>8</v>
      </c>
      <c r="D98">
        <v>32</v>
      </c>
      <c r="E98" t="s">
        <v>16</v>
      </c>
      <c r="F98" s="4">
        <v>44339</v>
      </c>
      <c r="G98" t="s">
        <v>56</v>
      </c>
      <c r="H98" s="5">
        <v>45510</v>
      </c>
    </row>
    <row r="99" spans="2:8" x14ac:dyDescent="0.25">
      <c r="B99" t="s">
        <v>142</v>
      </c>
      <c r="D99">
        <v>37</v>
      </c>
      <c r="E99" t="s">
        <v>24</v>
      </c>
      <c r="F99" s="4">
        <v>44085</v>
      </c>
      <c r="G99" t="s">
        <v>21</v>
      </c>
      <c r="H99" s="5">
        <v>115440</v>
      </c>
    </row>
    <row r="100" spans="2:8" x14ac:dyDescent="0.25">
      <c r="B100" t="s">
        <v>202</v>
      </c>
      <c r="C100" t="s">
        <v>8</v>
      </c>
      <c r="D100">
        <v>38</v>
      </c>
      <c r="E100" t="s">
        <v>13</v>
      </c>
      <c r="F100" s="4">
        <v>44268</v>
      </c>
      <c r="G100" t="s">
        <v>19</v>
      </c>
      <c r="H100" s="5">
        <v>56870</v>
      </c>
    </row>
    <row r="101" spans="2:8" x14ac:dyDescent="0.25">
      <c r="B101" t="s">
        <v>169</v>
      </c>
      <c r="C101" t="s">
        <v>8</v>
      </c>
      <c r="D101">
        <v>25</v>
      </c>
      <c r="E101" t="s">
        <v>16</v>
      </c>
      <c r="F101" s="4">
        <v>44144</v>
      </c>
      <c r="G101" t="s">
        <v>19</v>
      </c>
      <c r="H101" s="5">
        <v>92700</v>
      </c>
    </row>
    <row r="102" spans="2:8" x14ac:dyDescent="0.25">
      <c r="B102" t="s">
        <v>145</v>
      </c>
      <c r="D102">
        <v>32</v>
      </c>
      <c r="E102" t="s">
        <v>16</v>
      </c>
      <c r="F102" s="4">
        <v>44713</v>
      </c>
      <c r="G102" t="s">
        <v>12</v>
      </c>
      <c r="H102" s="5">
        <v>91310</v>
      </c>
    </row>
    <row r="103" spans="2:8" x14ac:dyDescent="0.25">
      <c r="B103" t="s">
        <v>115</v>
      </c>
      <c r="C103" t="s">
        <v>15</v>
      </c>
      <c r="D103">
        <v>33</v>
      </c>
      <c r="E103" t="s">
        <v>16</v>
      </c>
      <c r="F103" s="4">
        <v>44324</v>
      </c>
      <c r="G103" t="s">
        <v>19</v>
      </c>
      <c r="H103" s="5">
        <v>74550</v>
      </c>
    </row>
    <row r="104" spans="2:8" x14ac:dyDescent="0.25">
      <c r="B104" t="s">
        <v>128</v>
      </c>
      <c r="C104" t="s">
        <v>15</v>
      </c>
      <c r="D104">
        <v>25</v>
      </c>
      <c r="E104" t="s">
        <v>13</v>
      </c>
      <c r="F104" s="4">
        <v>44665</v>
      </c>
      <c r="G104" t="s">
        <v>9</v>
      </c>
      <c r="H104" s="5">
        <v>109190</v>
      </c>
    </row>
    <row r="105" spans="2:8" x14ac:dyDescent="0.25">
      <c r="B105" t="s">
        <v>194</v>
      </c>
      <c r="C105" t="s">
        <v>8</v>
      </c>
      <c r="D105">
        <v>40</v>
      </c>
      <c r="E105" t="s">
        <v>16</v>
      </c>
      <c r="F105" s="4">
        <v>44320</v>
      </c>
      <c r="G105" t="s">
        <v>12</v>
      </c>
      <c r="H105" s="5">
        <v>104410</v>
      </c>
    </row>
    <row r="106" spans="2:8" x14ac:dyDescent="0.25">
      <c r="B106" t="s">
        <v>177</v>
      </c>
      <c r="C106" t="s">
        <v>15</v>
      </c>
      <c r="D106">
        <v>30</v>
      </c>
      <c r="E106" t="s">
        <v>16</v>
      </c>
      <c r="F106" s="4">
        <v>44544</v>
      </c>
      <c r="G106" t="s">
        <v>21</v>
      </c>
      <c r="H106" s="5">
        <v>96800</v>
      </c>
    </row>
    <row r="107" spans="2:8" x14ac:dyDescent="0.25">
      <c r="B107" t="s">
        <v>123</v>
      </c>
      <c r="C107" t="s">
        <v>15</v>
      </c>
      <c r="D107">
        <v>28</v>
      </c>
      <c r="E107" t="s">
        <v>13</v>
      </c>
      <c r="F107" s="4">
        <v>43980</v>
      </c>
      <c r="G107" t="s">
        <v>21</v>
      </c>
      <c r="H107" s="5">
        <v>48170</v>
      </c>
    </row>
    <row r="108" spans="2:8" x14ac:dyDescent="0.25">
      <c r="B108" t="s">
        <v>140</v>
      </c>
      <c r="C108" t="s">
        <v>15</v>
      </c>
      <c r="D108">
        <v>21</v>
      </c>
      <c r="E108" t="s">
        <v>16</v>
      </c>
      <c r="F108" s="4">
        <v>44042</v>
      </c>
      <c r="G108" t="s">
        <v>9</v>
      </c>
      <c r="H108" s="5">
        <v>37920</v>
      </c>
    </row>
    <row r="109" spans="2:8" x14ac:dyDescent="0.25">
      <c r="B109" t="s">
        <v>178</v>
      </c>
      <c r="C109" t="s">
        <v>15</v>
      </c>
      <c r="D109">
        <v>34</v>
      </c>
      <c r="E109" t="s">
        <v>16</v>
      </c>
      <c r="F109" s="4">
        <v>44642</v>
      </c>
      <c r="G109" t="s">
        <v>9</v>
      </c>
      <c r="H109" s="5">
        <v>112650</v>
      </c>
    </row>
    <row r="110" spans="2:8" x14ac:dyDescent="0.25">
      <c r="B110" t="s">
        <v>165</v>
      </c>
      <c r="C110" t="s">
        <v>8</v>
      </c>
      <c r="D110">
        <v>34</v>
      </c>
      <c r="E110" t="s">
        <v>24</v>
      </c>
      <c r="F110" s="4">
        <v>44660</v>
      </c>
      <c r="G110" t="s">
        <v>19</v>
      </c>
      <c r="H110" s="5">
        <v>49630</v>
      </c>
    </row>
    <row r="111" spans="2:8" x14ac:dyDescent="0.25">
      <c r="B111" t="s">
        <v>199</v>
      </c>
      <c r="C111" t="s">
        <v>15</v>
      </c>
      <c r="D111">
        <v>36</v>
      </c>
      <c r="E111" t="s">
        <v>16</v>
      </c>
      <c r="F111" s="4">
        <v>43958</v>
      </c>
      <c r="G111" t="s">
        <v>12</v>
      </c>
      <c r="H111" s="5">
        <v>118840</v>
      </c>
    </row>
    <row r="112" spans="2:8" x14ac:dyDescent="0.25">
      <c r="B112" t="s">
        <v>159</v>
      </c>
      <c r="C112" t="s">
        <v>15</v>
      </c>
      <c r="D112">
        <v>30</v>
      </c>
      <c r="E112" t="s">
        <v>16</v>
      </c>
      <c r="F112" s="4">
        <v>44789</v>
      </c>
      <c r="G112" t="s">
        <v>12</v>
      </c>
      <c r="H112" s="5">
        <v>69710</v>
      </c>
    </row>
    <row r="113" spans="2:8" x14ac:dyDescent="0.25">
      <c r="B113" t="s">
        <v>197</v>
      </c>
      <c r="C113" t="s">
        <v>15</v>
      </c>
      <c r="D113">
        <v>20</v>
      </c>
      <c r="E113" t="s">
        <v>16</v>
      </c>
      <c r="F113" s="4">
        <v>44683</v>
      </c>
      <c r="G113" t="s">
        <v>9</v>
      </c>
      <c r="H113" s="5">
        <v>79570</v>
      </c>
    </row>
    <row r="114" spans="2:8" x14ac:dyDescent="0.25">
      <c r="B114" t="s">
        <v>154</v>
      </c>
      <c r="C114" t="s">
        <v>8</v>
      </c>
      <c r="D114">
        <v>22</v>
      </c>
      <c r="E114" t="s">
        <v>13</v>
      </c>
      <c r="F114" s="4">
        <v>44388</v>
      </c>
      <c r="G114" t="s">
        <v>9</v>
      </c>
      <c r="H114" s="5">
        <v>76900</v>
      </c>
    </row>
    <row r="115" spans="2:8" x14ac:dyDescent="0.25">
      <c r="B115" t="s">
        <v>203</v>
      </c>
      <c r="C115">
        <f>SUBTOTAL(103,india[Gender])</f>
        <v>106</v>
      </c>
      <c r="H115">
        <f>SUBTOTAL(101,india[Salary])</f>
        <v>78195.803571428565</v>
      </c>
    </row>
  </sheetData>
  <conditionalFormatting sqref="B3:B114">
    <cfRule type="duplicateValues" dxfId="23"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63A63-651E-44BE-843B-84D4FADEC72B}">
  <sheetPr>
    <tabColor rgb="FFC00000"/>
  </sheetPr>
  <dimension ref="A1:AC213"/>
  <sheetViews>
    <sheetView topLeftCell="D1" workbookViewId="0">
      <selection activeCell="M2" activeCellId="1" sqref="F2:F185 M2:M185"/>
    </sheetView>
  </sheetViews>
  <sheetFormatPr defaultRowHeight="15" x14ac:dyDescent="0.25"/>
  <cols>
    <col min="1" max="1" width="30" bestFit="1" customWidth="1"/>
    <col min="2" max="2" width="12.28515625" bestFit="1" customWidth="1"/>
    <col min="3" max="3" width="16.28515625" bestFit="1" customWidth="1"/>
    <col min="4" max="4" width="9" bestFit="1" customWidth="1"/>
    <col min="5" max="5" width="16" bestFit="1" customWidth="1"/>
    <col min="6" max="6" width="10.85546875" bestFit="1" customWidth="1"/>
    <col min="7" max="7" width="14.28515625" bestFit="1" customWidth="1"/>
    <col min="8" max="8" width="12.5703125" bestFit="1" customWidth="1"/>
    <col min="9" max="9" width="16.42578125" bestFit="1" customWidth="1"/>
    <col min="10" max="10" width="11.5703125" bestFit="1" customWidth="1"/>
    <col min="11" max="11" width="7" style="10" customWidth="1"/>
    <col min="12" max="12" width="13.42578125" style="15" bestFit="1" customWidth="1"/>
    <col min="13" max="15" width="9.140625" style="10"/>
    <col min="16" max="16" width="18.85546875" bestFit="1" customWidth="1"/>
    <col min="17" max="17" width="12.42578125" bestFit="1" customWidth="1"/>
    <col min="19" max="19" width="12.5703125" bestFit="1" customWidth="1"/>
    <col min="20" max="20" width="4.5703125" customWidth="1"/>
    <col min="21" max="21" width="6.5703125" customWidth="1"/>
    <col min="22" max="22" width="6" bestFit="1" customWidth="1"/>
    <col min="24" max="24" width="4.28515625" customWidth="1"/>
    <col min="25" max="25" width="6" bestFit="1" customWidth="1"/>
    <col min="26" max="26" width="4.5703125" customWidth="1"/>
  </cols>
  <sheetData>
    <row r="1" spans="1:17" x14ac:dyDescent="0.25">
      <c r="A1" s="7" t="s">
        <v>0</v>
      </c>
      <c r="B1" s="7" t="s">
        <v>1</v>
      </c>
      <c r="C1" s="7" t="s">
        <v>2</v>
      </c>
      <c r="D1" s="7" t="s">
        <v>3</v>
      </c>
      <c r="E1" s="7" t="s">
        <v>4</v>
      </c>
      <c r="F1" s="7" t="s">
        <v>5</v>
      </c>
      <c r="G1" s="7" t="s">
        <v>6</v>
      </c>
      <c r="H1" s="7" t="s">
        <v>204</v>
      </c>
      <c r="I1" s="7" t="s">
        <v>211</v>
      </c>
      <c r="J1" s="7" t="s">
        <v>220</v>
      </c>
      <c r="K1" s="9" t="s">
        <v>221</v>
      </c>
      <c r="L1" s="18" t="s">
        <v>232</v>
      </c>
      <c r="M1" s="9" t="s">
        <v>233</v>
      </c>
      <c r="N1" s="9"/>
      <c r="O1" s="12">
        <v>1</v>
      </c>
    </row>
    <row r="2" spans="1:17" x14ac:dyDescent="0.25">
      <c r="A2" s="7" t="s">
        <v>86</v>
      </c>
      <c r="B2" s="7" t="s">
        <v>8</v>
      </c>
      <c r="C2" s="7" t="s">
        <v>12</v>
      </c>
      <c r="D2" s="7">
        <v>21</v>
      </c>
      <c r="E2" s="8">
        <v>44678</v>
      </c>
      <c r="F2" s="7">
        <v>33920</v>
      </c>
      <c r="G2" s="7" t="s">
        <v>16</v>
      </c>
      <c r="H2" s="7" t="s">
        <v>205</v>
      </c>
      <c r="I2" s="8">
        <f ca="1">TODAY()</f>
        <v>45585</v>
      </c>
      <c r="J2" s="7">
        <f ca="1">All_Staff[[#This Row],[current date]]-All_Staff[[#This Row],[Date Joined]]</f>
        <v>907</v>
      </c>
      <c r="K2" s="9">
        <f ca="1">All_Staff[[#This Row],[tunure]]/365</f>
        <v>2.484931506849315</v>
      </c>
      <c r="L2" s="19">
        <f ca="1">IF(All_Staff[[#This Row],[tunure in year]]&gt;3,3%,2%)*All_Staff[[#This Row],[Salary]]</f>
        <v>678.4</v>
      </c>
      <c r="M2" s="9">
        <f>_xlfn.XLOOKUP(All_Staff[[#This Row],[Rating]],'Salary vs Rating.'!$B$3:$B$7,'Salary vs Rating.'!$C$3:$C$7)</f>
        <v>3</v>
      </c>
      <c r="N2" s="9"/>
      <c r="O2" s="9"/>
      <c r="P2" t="s">
        <v>208</v>
      </c>
      <c r="Q2">
        <f>COUNTA(A:A)</f>
        <v>185</v>
      </c>
    </row>
    <row r="3" spans="1:17" x14ac:dyDescent="0.25">
      <c r="A3" s="7" t="s">
        <v>179</v>
      </c>
      <c r="B3" s="7" t="s">
        <v>8</v>
      </c>
      <c r="C3" s="7" t="s">
        <v>12</v>
      </c>
      <c r="D3" s="7">
        <v>21</v>
      </c>
      <c r="E3" s="8">
        <v>44619</v>
      </c>
      <c r="F3" s="7">
        <v>33920</v>
      </c>
      <c r="G3" s="7" t="s">
        <v>16</v>
      </c>
      <c r="H3" s="7" t="s">
        <v>207</v>
      </c>
      <c r="I3" s="8">
        <f ca="1">TODAY()</f>
        <v>45585</v>
      </c>
      <c r="J3" s="7">
        <f ca="1">All_Staff[[#This Row],[current date]]-All_Staff[[#This Row],[Date Joined]]</f>
        <v>966</v>
      </c>
      <c r="K3" s="9">
        <f ca="1">All_Staff[[#This Row],[tunure]]/365</f>
        <v>2.6465753424657534</v>
      </c>
      <c r="L3" s="19">
        <f ca="1">IF(All_Staff[[#This Row],[tunure in year]]&gt;3,3%,2%)*All_Staff[[#This Row],[Salary]]</f>
        <v>678.4</v>
      </c>
      <c r="M3" s="9">
        <f>_xlfn.XLOOKUP(All_Staff[[#This Row],[Rating]],'Salary vs Rating.'!$B$3:$B$7,'Salary vs Rating.'!$C$3:$C$7)</f>
        <v>3</v>
      </c>
      <c r="N3" s="9"/>
      <c r="O3" s="9"/>
      <c r="P3" t="s">
        <v>209</v>
      </c>
      <c r="Q3" s="10">
        <f>AVERAGE(D:D)</f>
        <v>30.445652173913043</v>
      </c>
    </row>
    <row r="4" spans="1:17" x14ac:dyDescent="0.25">
      <c r="A4" s="7" t="s">
        <v>44</v>
      </c>
      <c r="B4" s="7" t="s">
        <v>8</v>
      </c>
      <c r="C4" s="7" t="s">
        <v>12</v>
      </c>
      <c r="D4" s="7">
        <v>29</v>
      </c>
      <c r="E4" s="8">
        <v>44023</v>
      </c>
      <c r="F4" s="7">
        <v>34980</v>
      </c>
      <c r="G4" s="7" t="s">
        <v>16</v>
      </c>
      <c r="H4" s="7" t="s">
        <v>205</v>
      </c>
      <c r="I4" s="8">
        <f ca="1">TODAY()</f>
        <v>45585</v>
      </c>
      <c r="J4" s="7">
        <f ca="1">All_Staff[[#This Row],[current date]]-All_Staff[[#This Row],[Date Joined]]</f>
        <v>1562</v>
      </c>
      <c r="K4" s="9">
        <f ca="1">All_Staff[[#This Row],[tunure]]/365</f>
        <v>4.279452054794521</v>
      </c>
      <c r="L4" s="19">
        <f ca="1">IF(All_Staff[[#This Row],[tunure in year]]&gt;3,3%,2%)*All_Staff[[#This Row],[Salary]]</f>
        <v>1049.3999999999999</v>
      </c>
      <c r="M4" s="9">
        <f>_xlfn.XLOOKUP(All_Staff[[#This Row],[Rating]],'Salary vs Rating.'!$B$3:$B$7,'Salary vs Rating.'!$C$3:$C$7)</f>
        <v>3</v>
      </c>
      <c r="N4" s="9"/>
      <c r="O4" s="9"/>
      <c r="P4" t="s">
        <v>210</v>
      </c>
      <c r="Q4" s="5">
        <f>AVERAGE(F:F)</f>
        <v>77366.521739130432</v>
      </c>
    </row>
    <row r="5" spans="1:17" x14ac:dyDescent="0.25">
      <c r="A5" s="7" t="s">
        <v>137</v>
      </c>
      <c r="B5" s="7" t="s">
        <v>8</v>
      </c>
      <c r="C5" s="7" t="s">
        <v>12</v>
      </c>
      <c r="D5" s="7">
        <v>29</v>
      </c>
      <c r="E5" s="8">
        <v>43962</v>
      </c>
      <c r="F5" s="7">
        <v>34980</v>
      </c>
      <c r="G5" s="7" t="s">
        <v>16</v>
      </c>
      <c r="H5" s="7" t="s">
        <v>207</v>
      </c>
      <c r="I5" s="8">
        <f ca="1">TODAY()</f>
        <v>45585</v>
      </c>
      <c r="J5" s="7">
        <f ca="1">All_Staff[[#This Row],[current date]]-All_Staff[[#This Row],[Date Joined]]</f>
        <v>1623</v>
      </c>
      <c r="K5" s="9">
        <f ca="1">All_Staff[[#This Row],[tunure]]/365</f>
        <v>4.4465753424657537</v>
      </c>
      <c r="L5" s="19">
        <f ca="1">IF(All_Staff[[#This Row],[tunure in year]]&gt;3,3%,2%)*All_Staff[[#This Row],[Salary]]</f>
        <v>1049.3999999999999</v>
      </c>
      <c r="M5" s="9">
        <f>_xlfn.XLOOKUP(All_Staff[[#This Row],[Rating]],'Salary vs Rating.'!$B$3:$B$7,'Salary vs Rating.'!$C$3:$C$7)</f>
        <v>3</v>
      </c>
      <c r="N5" s="9"/>
      <c r="O5" s="9"/>
      <c r="P5" t="s">
        <v>219</v>
      </c>
      <c r="Q5" s="10">
        <f ca="1">AVERAGE(K:K)</f>
        <v>3.1520547945205473</v>
      </c>
    </row>
    <row r="6" spans="1:17" x14ac:dyDescent="0.25">
      <c r="A6" s="7" t="s">
        <v>99</v>
      </c>
      <c r="B6" s="7" t="s">
        <v>15</v>
      </c>
      <c r="C6" s="7" t="s">
        <v>19</v>
      </c>
      <c r="D6" s="7">
        <v>43</v>
      </c>
      <c r="E6" s="8">
        <v>44620</v>
      </c>
      <c r="F6" s="7">
        <v>36040</v>
      </c>
      <c r="G6" s="7" t="s">
        <v>16</v>
      </c>
      <c r="H6" s="7" t="s">
        <v>205</v>
      </c>
      <c r="I6" s="8">
        <f ca="1">TODAY()</f>
        <v>45585</v>
      </c>
      <c r="J6" s="7">
        <f ca="1">All_Staff[[#This Row],[current date]]-All_Staff[[#This Row],[Date Joined]]</f>
        <v>965</v>
      </c>
      <c r="K6" s="9">
        <f ca="1">All_Staff[[#This Row],[tunure]]/365</f>
        <v>2.6438356164383561</v>
      </c>
      <c r="L6" s="19">
        <f ca="1">IF(All_Staff[[#This Row],[tunure in year]]&gt;3,3%,2%)*All_Staff[[#This Row],[Salary]]</f>
        <v>720.80000000000007</v>
      </c>
      <c r="M6" s="9">
        <f>_xlfn.XLOOKUP(All_Staff[[#This Row],[Rating]],'Salary vs Rating.'!$B$3:$B$7,'Salary vs Rating.'!$C$3:$C$7)</f>
        <v>3</v>
      </c>
      <c r="N6" s="9"/>
      <c r="O6" s="9"/>
      <c r="P6" t="s">
        <v>212</v>
      </c>
      <c r="Q6" s="11">
        <f>Q9/Q2</f>
        <v>0.46486486486486489</v>
      </c>
    </row>
    <row r="7" spans="1:17" x14ac:dyDescent="0.25">
      <c r="A7" s="7" t="s">
        <v>192</v>
      </c>
      <c r="B7" s="7" t="s">
        <v>15</v>
      </c>
      <c r="C7" s="7" t="s">
        <v>19</v>
      </c>
      <c r="D7" s="7">
        <v>43</v>
      </c>
      <c r="E7" s="8">
        <v>44558</v>
      </c>
      <c r="F7" s="7">
        <v>36040</v>
      </c>
      <c r="G7" s="7" t="s">
        <v>16</v>
      </c>
      <c r="H7" s="7" t="s">
        <v>207</v>
      </c>
      <c r="I7" s="8">
        <f ca="1">TODAY()</f>
        <v>45585</v>
      </c>
      <c r="J7" s="7">
        <f ca="1">All_Staff[[#This Row],[current date]]-All_Staff[[#This Row],[Date Joined]]</f>
        <v>1027</v>
      </c>
      <c r="K7" s="9">
        <f ca="1">All_Staff[[#This Row],[tunure]]/365</f>
        <v>2.8136986301369862</v>
      </c>
      <c r="L7" s="19">
        <f ca="1">IF(All_Staff[[#This Row],[tunure in year]]&gt;3,3%,2%)*All_Staff[[#This Row],[Salary]]</f>
        <v>720.80000000000007</v>
      </c>
      <c r="M7" s="9">
        <f>_xlfn.XLOOKUP(All_Staff[[#This Row],[Rating]],'Salary vs Rating.'!$B$3:$B$7,'Salary vs Rating.'!$C$3:$C$7)</f>
        <v>3</v>
      </c>
      <c r="N7" s="9"/>
      <c r="O7" s="9"/>
      <c r="P7" t="s">
        <v>213</v>
      </c>
      <c r="Q7">
        <f>MEDIAN(D:D)</f>
        <v>30</v>
      </c>
    </row>
    <row r="8" spans="1:17" x14ac:dyDescent="0.25">
      <c r="A8" s="7" t="s">
        <v>47</v>
      </c>
      <c r="B8" s="7" t="s">
        <v>15</v>
      </c>
      <c r="C8" s="7" t="s">
        <v>9</v>
      </c>
      <c r="D8" s="7">
        <v>21</v>
      </c>
      <c r="E8" s="8">
        <v>44104</v>
      </c>
      <c r="F8" s="7">
        <v>37920</v>
      </c>
      <c r="G8" s="7" t="s">
        <v>16</v>
      </c>
      <c r="H8" s="7" t="s">
        <v>205</v>
      </c>
      <c r="I8" s="8">
        <f ca="1">TODAY()</f>
        <v>45585</v>
      </c>
      <c r="J8" s="7">
        <f ca="1">All_Staff[[#This Row],[current date]]-All_Staff[[#This Row],[Date Joined]]</f>
        <v>1481</v>
      </c>
      <c r="K8" s="9">
        <f ca="1">All_Staff[[#This Row],[tunure]]/365</f>
        <v>4.0575342465753428</v>
      </c>
      <c r="L8" s="19">
        <f ca="1">IF(All_Staff[[#This Row],[tunure in year]]&gt;3,3%,2%)*All_Staff[[#This Row],[Salary]]</f>
        <v>1137.5999999999999</v>
      </c>
      <c r="M8" s="9">
        <f>_xlfn.XLOOKUP(All_Staff[[#This Row],[Rating]],'Salary vs Rating.'!$B$3:$B$7,'Salary vs Rating.'!$C$3:$C$7)</f>
        <v>3</v>
      </c>
      <c r="N8" s="9"/>
      <c r="O8" s="9"/>
      <c r="P8" t="s">
        <v>214</v>
      </c>
      <c r="Q8" s="5">
        <f>MEDIAN(F:F)</f>
        <v>75140</v>
      </c>
    </row>
    <row r="9" spans="1:17" x14ac:dyDescent="0.25">
      <c r="A9" s="7" t="s">
        <v>140</v>
      </c>
      <c r="B9" s="7" t="s">
        <v>15</v>
      </c>
      <c r="C9" s="7" t="s">
        <v>9</v>
      </c>
      <c r="D9" s="7">
        <v>21</v>
      </c>
      <c r="E9" s="8">
        <v>44042</v>
      </c>
      <c r="F9" s="7">
        <v>37920</v>
      </c>
      <c r="G9" s="7" t="s">
        <v>16</v>
      </c>
      <c r="H9" s="7" t="s">
        <v>207</v>
      </c>
      <c r="I9" s="8">
        <f ca="1">TODAY()</f>
        <v>45585</v>
      </c>
      <c r="J9" s="7">
        <f ca="1">All_Staff[[#This Row],[current date]]-All_Staff[[#This Row],[Date Joined]]</f>
        <v>1543</v>
      </c>
      <c r="K9" s="9">
        <f ca="1">All_Staff[[#This Row],[tunure]]/365</f>
        <v>4.2273972602739729</v>
      </c>
      <c r="L9" s="19">
        <f ca="1">IF(All_Staff[[#This Row],[tunure in year]]&gt;3,3%,2%)*All_Staff[[#This Row],[Salary]]</f>
        <v>1137.5999999999999</v>
      </c>
      <c r="M9" s="9">
        <f>_xlfn.XLOOKUP(All_Staff[[#This Row],[Rating]],'Salary vs Rating.'!$B$3:$B$7,'Salary vs Rating.'!$C$3:$C$7)</f>
        <v>3</v>
      </c>
      <c r="N9" s="9"/>
      <c r="O9" s="9"/>
      <c r="P9" t="s">
        <v>215</v>
      </c>
      <c r="Q9">
        <f>COUNTIF(All_Staff[Gender],"Female")</f>
        <v>86</v>
      </c>
    </row>
    <row r="10" spans="1:17" x14ac:dyDescent="0.25">
      <c r="A10" s="7" t="s">
        <v>57</v>
      </c>
      <c r="B10" s="7" t="s">
        <v>15</v>
      </c>
      <c r="C10" s="7" t="s">
        <v>9</v>
      </c>
      <c r="D10" s="7">
        <v>35</v>
      </c>
      <c r="E10" s="8">
        <v>44727</v>
      </c>
      <c r="F10" s="7">
        <v>40400</v>
      </c>
      <c r="G10" s="7" t="s">
        <v>16</v>
      </c>
      <c r="H10" s="7" t="s">
        <v>205</v>
      </c>
      <c r="I10" s="8">
        <f ca="1">TODAY()</f>
        <v>45585</v>
      </c>
      <c r="J10" s="7">
        <f ca="1">All_Staff[[#This Row],[current date]]-All_Staff[[#This Row],[Date Joined]]</f>
        <v>858</v>
      </c>
      <c r="K10" s="9">
        <f ca="1">All_Staff[[#This Row],[tunure]]/365</f>
        <v>2.3506849315068492</v>
      </c>
      <c r="L10" s="19">
        <f ca="1">IF(All_Staff[[#This Row],[tunure in year]]&gt;3,3%,2%)*All_Staff[[#This Row],[Salary]]</f>
        <v>808</v>
      </c>
      <c r="M10" s="9">
        <f>_xlfn.XLOOKUP(All_Staff[[#This Row],[Rating]],'Salary vs Rating.'!$B$3:$B$7,'Salary vs Rating.'!$C$3:$C$7)</f>
        <v>3</v>
      </c>
      <c r="N10" s="9"/>
      <c r="O10" s="9"/>
    </row>
    <row r="11" spans="1:17" x14ac:dyDescent="0.25">
      <c r="A11" s="7" t="s">
        <v>149</v>
      </c>
      <c r="B11" s="7" t="s">
        <v>15</v>
      </c>
      <c r="C11" s="7" t="s">
        <v>9</v>
      </c>
      <c r="D11" s="7">
        <v>35</v>
      </c>
      <c r="E11" s="8">
        <v>44666</v>
      </c>
      <c r="F11" s="7">
        <v>40400</v>
      </c>
      <c r="G11" s="7" t="s">
        <v>16</v>
      </c>
      <c r="H11" s="7" t="s">
        <v>207</v>
      </c>
      <c r="I11" s="8">
        <f ca="1">TODAY()</f>
        <v>45585</v>
      </c>
      <c r="J11" s="7">
        <f ca="1">All_Staff[[#This Row],[current date]]-All_Staff[[#This Row],[Date Joined]]</f>
        <v>919</v>
      </c>
      <c r="K11" s="9">
        <f ca="1">All_Staff[[#This Row],[tunure]]/365</f>
        <v>2.5178082191780824</v>
      </c>
      <c r="L11" s="19">
        <f ca="1">IF(All_Staff[[#This Row],[tunure in year]]&gt;3,3%,2%)*All_Staff[[#This Row],[Salary]]</f>
        <v>808</v>
      </c>
      <c r="M11" s="9">
        <f>_xlfn.XLOOKUP(All_Staff[[#This Row],[Rating]],'Salary vs Rating.'!$B$3:$B$7,'Salary vs Rating.'!$C$3:$C$7)</f>
        <v>3</v>
      </c>
      <c r="N11" s="9"/>
      <c r="O11" s="9"/>
      <c r="P11" t="s">
        <v>216</v>
      </c>
      <c r="Q11" s="11">
        <f>Q13/Q12</f>
        <v>0.34782608695652173</v>
      </c>
    </row>
    <row r="12" spans="1:17" x14ac:dyDescent="0.25">
      <c r="A12" s="7" t="s">
        <v>66</v>
      </c>
      <c r="B12" s="7" t="s">
        <v>8</v>
      </c>
      <c r="C12" s="7" t="s">
        <v>9</v>
      </c>
      <c r="D12" s="7">
        <v>32</v>
      </c>
      <c r="E12" s="8">
        <v>44611</v>
      </c>
      <c r="F12" s="7">
        <v>41570</v>
      </c>
      <c r="G12" s="7" t="s">
        <v>16</v>
      </c>
      <c r="H12" s="7" t="s">
        <v>205</v>
      </c>
      <c r="I12" s="8">
        <f ca="1">TODAY()</f>
        <v>45585</v>
      </c>
      <c r="J12" s="7">
        <f ca="1">All_Staff[[#This Row],[current date]]-All_Staff[[#This Row],[Date Joined]]</f>
        <v>974</v>
      </c>
      <c r="K12" s="9">
        <f ca="1">All_Staff[[#This Row],[tunure]]/365</f>
        <v>2.6684931506849314</v>
      </c>
      <c r="L12" s="19">
        <f ca="1">IF(All_Staff[[#This Row],[tunure in year]]&gt;3,3%,2%)*All_Staff[[#This Row],[Salary]]</f>
        <v>831.4</v>
      </c>
      <c r="M12" s="9">
        <f>_xlfn.XLOOKUP(All_Staff[[#This Row],[Rating]],'Salary vs Rating.'!$B$3:$B$7,'Salary vs Rating.'!$C$3:$C$7)</f>
        <v>3</v>
      </c>
      <c r="N12" s="9"/>
      <c r="O12" s="9"/>
      <c r="P12" t="s">
        <v>217</v>
      </c>
      <c r="Q12">
        <f>COUNT(F:F)</f>
        <v>184</v>
      </c>
    </row>
    <row r="13" spans="1:17" x14ac:dyDescent="0.25">
      <c r="A13" s="7" t="s">
        <v>158</v>
      </c>
      <c r="B13" s="7" t="s">
        <v>8</v>
      </c>
      <c r="C13" s="7" t="s">
        <v>9</v>
      </c>
      <c r="D13" s="7">
        <v>32</v>
      </c>
      <c r="E13" s="8">
        <v>44549</v>
      </c>
      <c r="F13" s="7">
        <v>41570</v>
      </c>
      <c r="G13" s="7" t="s">
        <v>16</v>
      </c>
      <c r="H13" s="7" t="s">
        <v>207</v>
      </c>
      <c r="I13" s="8">
        <f ca="1">TODAY()</f>
        <v>45585</v>
      </c>
      <c r="J13" s="7">
        <f ca="1">All_Staff[[#This Row],[current date]]-All_Staff[[#This Row],[Date Joined]]</f>
        <v>1036</v>
      </c>
      <c r="K13" s="9">
        <f ca="1">All_Staff[[#This Row],[tunure]]/365</f>
        <v>2.8383561643835615</v>
      </c>
      <c r="L13" s="19">
        <f ca="1">IF(All_Staff[[#This Row],[tunure in year]]&gt;3,3%,2%)*All_Staff[[#This Row],[Salary]]</f>
        <v>831.4</v>
      </c>
      <c r="M13" s="9">
        <f>_xlfn.XLOOKUP(All_Staff[[#This Row],[Rating]],'Salary vs Rating.'!$B$3:$B$7,'Salary vs Rating.'!$C$3:$C$7)</f>
        <v>3</v>
      </c>
      <c r="N13" s="9"/>
      <c r="O13" s="9"/>
      <c r="P13" t="s">
        <v>218</v>
      </c>
      <c r="Q13">
        <f>COUNTIF(F:F,"&gt;90000")</f>
        <v>64</v>
      </c>
    </row>
    <row r="14" spans="1:17" x14ac:dyDescent="0.25">
      <c r="A14" s="7" t="s">
        <v>30</v>
      </c>
      <c r="B14" s="7" t="s">
        <v>8</v>
      </c>
      <c r="C14" s="7" t="s">
        <v>12</v>
      </c>
      <c r="D14" s="7">
        <v>31</v>
      </c>
      <c r="E14" s="8">
        <v>44145</v>
      </c>
      <c r="F14" s="7">
        <v>41980</v>
      </c>
      <c r="G14" s="7" t="s">
        <v>16</v>
      </c>
      <c r="H14" s="7" t="s">
        <v>205</v>
      </c>
      <c r="I14" s="8">
        <f ca="1">TODAY()</f>
        <v>45585</v>
      </c>
      <c r="J14" s="7">
        <f ca="1">All_Staff[[#This Row],[current date]]-All_Staff[[#This Row],[Date Joined]]</f>
        <v>1440</v>
      </c>
      <c r="K14" s="9">
        <f ca="1">All_Staff[[#This Row],[tunure]]/365</f>
        <v>3.9452054794520546</v>
      </c>
      <c r="L14" s="19">
        <f ca="1">IF(All_Staff[[#This Row],[tunure in year]]&gt;3,3%,2%)*All_Staff[[#This Row],[Salary]]</f>
        <v>1259.3999999999999</v>
      </c>
      <c r="M14" s="9">
        <f>_xlfn.XLOOKUP(All_Staff[[#This Row],[Rating]],'Salary vs Rating.'!$B$3:$B$7,'Salary vs Rating.'!$C$3:$C$7)</f>
        <v>3</v>
      </c>
      <c r="N14" s="9"/>
      <c r="O14" s="9"/>
    </row>
    <row r="15" spans="1:17" x14ac:dyDescent="0.25">
      <c r="A15" s="7" t="s">
        <v>124</v>
      </c>
      <c r="B15" s="7" t="s">
        <v>8</v>
      </c>
      <c r="C15" s="7" t="s">
        <v>12</v>
      </c>
      <c r="D15" s="7">
        <v>31</v>
      </c>
      <c r="E15" s="8">
        <v>44084</v>
      </c>
      <c r="F15" s="7">
        <v>41980</v>
      </c>
      <c r="G15" s="7" t="s">
        <v>16</v>
      </c>
      <c r="H15" s="7" t="s">
        <v>207</v>
      </c>
      <c r="I15" s="8">
        <f ca="1">TODAY()</f>
        <v>45585</v>
      </c>
      <c r="J15" s="7">
        <f ca="1">All_Staff[[#This Row],[current date]]-All_Staff[[#This Row],[Date Joined]]</f>
        <v>1501</v>
      </c>
      <c r="K15" s="9">
        <f ca="1">All_Staff[[#This Row],[tunure]]/365</f>
        <v>4.1123287671232873</v>
      </c>
      <c r="L15" s="19">
        <f ca="1">IF(All_Staff[[#This Row],[tunure in year]]&gt;3,3%,2%)*All_Staff[[#This Row],[Salary]]</f>
        <v>1259.3999999999999</v>
      </c>
      <c r="M15" s="9">
        <f>_xlfn.XLOOKUP(All_Staff[[#This Row],[Rating]],'Salary vs Rating.'!$B$3:$B$7,'Salary vs Rating.'!$C$3:$C$7)</f>
        <v>3</v>
      </c>
      <c r="N15" s="9"/>
      <c r="O15" s="9"/>
    </row>
    <row r="16" spans="1:17" x14ac:dyDescent="0.25">
      <c r="A16" s="7" t="s">
        <v>80</v>
      </c>
      <c r="B16" s="7" t="s">
        <v>15</v>
      </c>
      <c r="C16" s="7" t="s">
        <v>19</v>
      </c>
      <c r="D16" s="7">
        <v>28</v>
      </c>
      <c r="E16" s="8">
        <v>44820</v>
      </c>
      <c r="F16" s="7">
        <v>43510</v>
      </c>
      <c r="G16" s="7" t="s">
        <v>42</v>
      </c>
      <c r="H16" s="7" t="s">
        <v>205</v>
      </c>
      <c r="I16" s="8">
        <f ca="1">TODAY()</f>
        <v>45585</v>
      </c>
      <c r="J16" s="7">
        <f ca="1">All_Staff[[#This Row],[current date]]-All_Staff[[#This Row],[Date Joined]]</f>
        <v>765</v>
      </c>
      <c r="K16" s="9">
        <f ca="1">All_Staff[[#This Row],[tunure]]/365</f>
        <v>2.095890410958904</v>
      </c>
      <c r="L16" s="19">
        <f ca="1">IF(All_Staff[[#This Row],[tunure in year]]&gt;3,3%,2%)*All_Staff[[#This Row],[Salary]]</f>
        <v>870.2</v>
      </c>
      <c r="M16" s="9">
        <f>_xlfn.XLOOKUP(All_Staff[[#This Row],[Rating]],'Salary vs Rating.'!$B$3:$B$7,'Salary vs Rating.'!$C$3:$C$7)</f>
        <v>1</v>
      </c>
      <c r="N16" s="9"/>
      <c r="O16" s="12">
        <v>2</v>
      </c>
    </row>
    <row r="17" spans="1:29" x14ac:dyDescent="0.25">
      <c r="A17" s="7" t="s">
        <v>172</v>
      </c>
      <c r="B17" s="7" t="s">
        <v>15</v>
      </c>
      <c r="C17" s="7" t="s">
        <v>19</v>
      </c>
      <c r="D17" s="7">
        <v>28</v>
      </c>
      <c r="E17" s="8">
        <v>44758</v>
      </c>
      <c r="F17" s="7">
        <v>43510</v>
      </c>
      <c r="G17" s="7" t="s">
        <v>42</v>
      </c>
      <c r="H17" s="7" t="s">
        <v>207</v>
      </c>
      <c r="I17" s="8">
        <f ca="1">TODAY()</f>
        <v>45585</v>
      </c>
      <c r="J17" s="7">
        <f ca="1">All_Staff[[#This Row],[current date]]-All_Staff[[#This Row],[Date Joined]]</f>
        <v>827</v>
      </c>
      <c r="K17" s="9">
        <f ca="1">All_Staff[[#This Row],[tunure]]/365</f>
        <v>2.2657534246575342</v>
      </c>
      <c r="L17" s="19">
        <f ca="1">IF(All_Staff[[#This Row],[tunure in year]]&gt;3,3%,2%)*All_Staff[[#This Row],[Salary]]</f>
        <v>870.2</v>
      </c>
      <c r="M17" s="9">
        <f>_xlfn.XLOOKUP(All_Staff[[#This Row],[Rating]],'Salary vs Rating.'!$B$3:$B$7,'Salary vs Rating.'!$C$3:$C$7)</f>
        <v>1</v>
      </c>
      <c r="N17" s="9"/>
      <c r="O17" s="9"/>
      <c r="P17" t="s">
        <v>47</v>
      </c>
      <c r="Q17" t="str" cm="1">
        <f t="array" aca="1" ref="Q17:AC17" ca="1">_xlfn.XLOOKUP(P17,All_Staff[Name],All_Staff[])</f>
        <v>Orton Livick</v>
      </c>
      <c r="R17" t="str">
        <f ca="1"/>
        <v>Male</v>
      </c>
      <c r="S17" t="str">
        <f ca="1"/>
        <v>Procurement</v>
      </c>
      <c r="T17">
        <f ca="1"/>
        <v>21</v>
      </c>
      <c r="U17">
        <f ca="1"/>
        <v>44104</v>
      </c>
      <c r="V17">
        <f ca="1"/>
        <v>37920</v>
      </c>
      <c r="W17" t="str">
        <f ca="1"/>
        <v>Average</v>
      </c>
      <c r="X17" t="str">
        <f ca="1"/>
        <v>NZ</v>
      </c>
      <c r="Y17">
        <f ca="1"/>
        <v>45585</v>
      </c>
      <c r="Z17">
        <f ca="1"/>
        <v>1481</v>
      </c>
      <c r="AA17">
        <f ca="1"/>
        <v>4.0575342465753428</v>
      </c>
      <c r="AB17">
        <f ca="1"/>
        <v>1137.5999999999999</v>
      </c>
      <c r="AC17">
        <f ca="1"/>
        <v>3</v>
      </c>
    </row>
    <row r="18" spans="1:29" x14ac:dyDescent="0.25">
      <c r="A18" s="7" t="s">
        <v>84</v>
      </c>
      <c r="B18" s="7" t="s">
        <v>8</v>
      </c>
      <c r="C18" s="7" t="s">
        <v>12</v>
      </c>
      <c r="D18" s="7">
        <v>32</v>
      </c>
      <c r="E18" s="8">
        <v>44354</v>
      </c>
      <c r="F18" s="7">
        <v>43840</v>
      </c>
      <c r="G18" s="7" t="s">
        <v>13</v>
      </c>
      <c r="H18" s="7" t="s">
        <v>205</v>
      </c>
      <c r="I18" s="8">
        <f ca="1">TODAY()</f>
        <v>45585</v>
      </c>
      <c r="J18" s="7">
        <f ca="1">All_Staff[[#This Row],[current date]]-All_Staff[[#This Row],[Date Joined]]</f>
        <v>1231</v>
      </c>
      <c r="K18" s="9">
        <f ca="1">All_Staff[[#This Row],[tunure]]/365</f>
        <v>3.3726027397260272</v>
      </c>
      <c r="L18" s="19">
        <f ca="1">IF(All_Staff[[#This Row],[tunure in year]]&gt;3,3%,2%)*All_Staff[[#This Row],[Salary]]</f>
        <v>1315.2</v>
      </c>
      <c r="M18" s="9">
        <f>_xlfn.XLOOKUP(All_Staff[[#This Row],[Rating]],'Salary vs Rating.'!$B$3:$B$7,'Salary vs Rating.'!$C$3:$C$7)</f>
        <v>4</v>
      </c>
      <c r="N18" s="9"/>
      <c r="O18" s="9"/>
      <c r="Q18">
        <f>VLOOKUP(P17,All_Staff[],5)</f>
        <v>44529</v>
      </c>
    </row>
    <row r="19" spans="1:29" x14ac:dyDescent="0.25">
      <c r="A19" s="7" t="s">
        <v>176</v>
      </c>
      <c r="B19" s="7" t="s">
        <v>8</v>
      </c>
      <c r="C19" s="7" t="s">
        <v>12</v>
      </c>
      <c r="D19" s="7">
        <v>32</v>
      </c>
      <c r="E19" s="8">
        <v>44293</v>
      </c>
      <c r="F19" s="7">
        <v>43840</v>
      </c>
      <c r="G19" s="7" t="s">
        <v>13</v>
      </c>
      <c r="H19" s="7" t="s">
        <v>207</v>
      </c>
      <c r="I19" s="8">
        <f ca="1">TODAY()</f>
        <v>45585</v>
      </c>
      <c r="J19" s="7">
        <f ca="1">All_Staff[[#This Row],[current date]]-All_Staff[[#This Row],[Date Joined]]</f>
        <v>1292</v>
      </c>
      <c r="K19" s="9">
        <f ca="1">All_Staff[[#This Row],[tunure]]/365</f>
        <v>3.5397260273972604</v>
      </c>
      <c r="L19" s="19">
        <f ca="1">IF(All_Staff[[#This Row],[tunure in year]]&gt;3,3%,2%)*All_Staff[[#This Row],[Salary]]</f>
        <v>1315.2</v>
      </c>
      <c r="M19" s="9">
        <f>_xlfn.XLOOKUP(All_Staff[[#This Row],[Rating]],'Salary vs Rating.'!$B$3:$B$7,'Salary vs Rating.'!$C$3:$C$7)</f>
        <v>4</v>
      </c>
      <c r="N19" s="9"/>
      <c r="O19" s="9"/>
      <c r="Q19">
        <f>LOOKUP(P17,All_Staff[])</f>
        <v>3</v>
      </c>
    </row>
    <row r="20" spans="1:29" x14ac:dyDescent="0.25">
      <c r="A20" s="7" t="s">
        <v>108</v>
      </c>
      <c r="B20" s="7" t="s">
        <v>8</v>
      </c>
      <c r="C20" s="7" t="s">
        <v>56</v>
      </c>
      <c r="D20" s="7">
        <v>32</v>
      </c>
      <c r="E20" s="8">
        <v>44400</v>
      </c>
      <c r="F20" s="7">
        <v>45510</v>
      </c>
      <c r="G20" s="7" t="s">
        <v>16</v>
      </c>
      <c r="H20" s="7" t="s">
        <v>205</v>
      </c>
      <c r="I20" s="8">
        <f ca="1">TODAY()</f>
        <v>45585</v>
      </c>
      <c r="J20" s="7">
        <f ca="1">All_Staff[[#This Row],[current date]]-All_Staff[[#This Row],[Date Joined]]</f>
        <v>1185</v>
      </c>
      <c r="K20" s="9">
        <f ca="1">All_Staff[[#This Row],[tunure]]/365</f>
        <v>3.2465753424657535</v>
      </c>
      <c r="L20" s="19">
        <f ca="1">IF(All_Staff[[#This Row],[tunure in year]]&gt;3,3%,2%)*All_Staff[[#This Row],[Salary]]</f>
        <v>1365.3</v>
      </c>
      <c r="M20" s="9">
        <f>_xlfn.XLOOKUP(All_Staff[[#This Row],[Rating]],'Salary vs Rating.'!$B$3:$B$7,'Salary vs Rating.'!$C$3:$C$7)</f>
        <v>3</v>
      </c>
      <c r="N20" s="9"/>
      <c r="O20" s="9"/>
    </row>
    <row r="21" spans="1:29" x14ac:dyDescent="0.25">
      <c r="A21" s="7" t="s">
        <v>201</v>
      </c>
      <c r="B21" s="7" t="s">
        <v>8</v>
      </c>
      <c r="C21" s="7" t="s">
        <v>56</v>
      </c>
      <c r="D21" s="7">
        <v>32</v>
      </c>
      <c r="E21" s="8">
        <v>44339</v>
      </c>
      <c r="F21" s="7">
        <v>45510</v>
      </c>
      <c r="G21" s="7" t="s">
        <v>16</v>
      </c>
      <c r="H21" s="7" t="s">
        <v>207</v>
      </c>
      <c r="I21" s="8">
        <f ca="1">TODAY()</f>
        <v>45585</v>
      </c>
      <c r="J21" s="7">
        <f ca="1">All_Staff[[#This Row],[current date]]-All_Staff[[#This Row],[Date Joined]]</f>
        <v>1246</v>
      </c>
      <c r="K21" s="9">
        <f ca="1">All_Staff[[#This Row],[tunure]]/365</f>
        <v>3.4136986301369863</v>
      </c>
      <c r="L21" s="19">
        <f ca="1">IF(All_Staff[[#This Row],[tunure in year]]&gt;3,3%,2%)*All_Staff[[#This Row],[Salary]]</f>
        <v>1365.3</v>
      </c>
      <c r="M21" s="9">
        <f>_xlfn.XLOOKUP(All_Staff[[#This Row],[Rating]],'Salary vs Rating.'!$B$3:$B$7,'Salary vs Rating.'!$C$3:$C$7)</f>
        <v>3</v>
      </c>
      <c r="N21" s="9"/>
      <c r="O21" s="9"/>
    </row>
    <row r="22" spans="1:29" x14ac:dyDescent="0.25">
      <c r="A22" s="7" t="s">
        <v>59</v>
      </c>
      <c r="B22" s="7" t="s">
        <v>15</v>
      </c>
      <c r="C22" s="7" t="s">
        <v>9</v>
      </c>
      <c r="D22" s="7">
        <v>26</v>
      </c>
      <c r="E22" s="8">
        <v>44225</v>
      </c>
      <c r="F22" s="7">
        <v>47360</v>
      </c>
      <c r="G22" s="7" t="s">
        <v>16</v>
      </c>
      <c r="H22" s="7" t="s">
        <v>205</v>
      </c>
      <c r="I22" s="8">
        <f ca="1">TODAY()</f>
        <v>45585</v>
      </c>
      <c r="J22" s="7">
        <f ca="1">All_Staff[[#This Row],[current date]]-All_Staff[[#This Row],[Date Joined]]</f>
        <v>1360</v>
      </c>
      <c r="K22" s="9">
        <f ca="1">All_Staff[[#This Row],[tunure]]/365</f>
        <v>3.7260273972602738</v>
      </c>
      <c r="L22" s="19">
        <f ca="1">IF(All_Staff[[#This Row],[tunure in year]]&gt;3,3%,2%)*All_Staff[[#This Row],[Salary]]</f>
        <v>1420.8</v>
      </c>
      <c r="M22" s="9">
        <f>_xlfn.XLOOKUP(All_Staff[[#This Row],[Rating]],'Salary vs Rating.'!$B$3:$B$7,'Salary vs Rating.'!$C$3:$C$7)</f>
        <v>3</v>
      </c>
      <c r="N22" s="9"/>
      <c r="O22" s="9"/>
      <c r="P22">
        <f ca="1">IF(All_Staff[[#This Row],[tunure in year]]&gt;3,3%,2%)</f>
        <v>0.03</v>
      </c>
    </row>
    <row r="23" spans="1:29" x14ac:dyDescent="0.25">
      <c r="A23" s="7" t="s">
        <v>151</v>
      </c>
      <c r="B23" s="7" t="s">
        <v>15</v>
      </c>
      <c r="C23" s="7" t="s">
        <v>9</v>
      </c>
      <c r="D23" s="7">
        <v>26</v>
      </c>
      <c r="E23" s="8">
        <v>44164</v>
      </c>
      <c r="F23" s="7">
        <v>47360</v>
      </c>
      <c r="G23" s="7" t="s">
        <v>16</v>
      </c>
      <c r="H23" s="7" t="s">
        <v>207</v>
      </c>
      <c r="I23" s="8">
        <f ca="1">TODAY()</f>
        <v>45585</v>
      </c>
      <c r="J23" s="7">
        <f ca="1">All_Staff[[#This Row],[current date]]-All_Staff[[#This Row],[Date Joined]]</f>
        <v>1421</v>
      </c>
      <c r="K23" s="9">
        <f ca="1">All_Staff[[#This Row],[tunure]]/365</f>
        <v>3.893150684931507</v>
      </c>
      <c r="L23" s="19">
        <f ca="1">IF(All_Staff[[#This Row],[tunure in year]]&gt;3,3%,2%)*All_Staff[[#This Row],[Salary]]</f>
        <v>1420.8</v>
      </c>
      <c r="M23" s="9">
        <f>_xlfn.XLOOKUP(All_Staff[[#This Row],[Rating]],'Salary vs Rating.'!$B$3:$B$7,'Salary vs Rating.'!$C$3:$C$7)</f>
        <v>3</v>
      </c>
      <c r="N23" s="9"/>
      <c r="O23" s="9"/>
    </row>
    <row r="24" spans="1:29" x14ac:dyDescent="0.25">
      <c r="A24" s="7" t="s">
        <v>29</v>
      </c>
      <c r="B24" s="7" t="s">
        <v>15</v>
      </c>
      <c r="C24" s="7" t="s">
        <v>21</v>
      </c>
      <c r="D24" s="7">
        <v>28</v>
      </c>
      <c r="E24" s="8">
        <v>44041</v>
      </c>
      <c r="F24" s="7">
        <v>48170</v>
      </c>
      <c r="G24" s="7" t="s">
        <v>13</v>
      </c>
      <c r="H24" s="7" t="s">
        <v>205</v>
      </c>
      <c r="I24" s="8">
        <f ca="1">TODAY()</f>
        <v>45585</v>
      </c>
      <c r="J24" s="7">
        <f ca="1">All_Staff[[#This Row],[current date]]-All_Staff[[#This Row],[Date Joined]]</f>
        <v>1544</v>
      </c>
      <c r="K24" s="9">
        <f ca="1">All_Staff[[#This Row],[tunure]]/365</f>
        <v>4.2301369863013702</v>
      </c>
      <c r="L24" s="19">
        <f ca="1">IF(All_Staff[[#This Row],[tunure in year]]&gt;3,3%,2%)*All_Staff[[#This Row],[Salary]]</f>
        <v>1445.1</v>
      </c>
      <c r="M24" s="9">
        <f>_xlfn.XLOOKUP(All_Staff[[#This Row],[Rating]],'Salary vs Rating.'!$B$3:$B$7,'Salary vs Rating.'!$C$3:$C$7)</f>
        <v>4</v>
      </c>
      <c r="N24" s="9"/>
      <c r="O24" s="9"/>
    </row>
    <row r="25" spans="1:29" x14ac:dyDescent="0.25">
      <c r="A25" s="7" t="s">
        <v>123</v>
      </c>
      <c r="B25" s="7" t="s">
        <v>15</v>
      </c>
      <c r="C25" s="7" t="s">
        <v>21</v>
      </c>
      <c r="D25" s="7">
        <v>28</v>
      </c>
      <c r="E25" s="8">
        <v>43980</v>
      </c>
      <c r="F25" s="7">
        <v>48170</v>
      </c>
      <c r="G25" s="7" t="s">
        <v>13</v>
      </c>
      <c r="H25" s="7" t="s">
        <v>207</v>
      </c>
      <c r="I25" s="8">
        <f ca="1">TODAY()</f>
        <v>45585</v>
      </c>
      <c r="J25" s="7">
        <f ca="1">All_Staff[[#This Row],[current date]]-All_Staff[[#This Row],[Date Joined]]</f>
        <v>1605</v>
      </c>
      <c r="K25" s="9">
        <f ca="1">All_Staff[[#This Row],[tunure]]/365</f>
        <v>4.397260273972603</v>
      </c>
      <c r="L25" s="19">
        <f ca="1">IF(All_Staff[[#This Row],[tunure in year]]&gt;3,3%,2%)*All_Staff[[#This Row],[Salary]]</f>
        <v>1445.1</v>
      </c>
      <c r="M25" s="9">
        <f>_xlfn.XLOOKUP(All_Staff[[#This Row],[Rating]],'Salary vs Rating.'!$B$3:$B$7,'Salary vs Rating.'!$C$3:$C$7)</f>
        <v>4</v>
      </c>
      <c r="N25" s="9"/>
      <c r="O25" s="9"/>
    </row>
    <row r="26" spans="1:29" x14ac:dyDescent="0.25">
      <c r="A26" s="7" t="s">
        <v>51</v>
      </c>
      <c r="B26" s="7" t="s">
        <v>15</v>
      </c>
      <c r="C26" s="7" t="s">
        <v>9</v>
      </c>
      <c r="D26" s="7">
        <v>33</v>
      </c>
      <c r="E26" s="8">
        <v>44701</v>
      </c>
      <c r="F26" s="7">
        <v>48530</v>
      </c>
      <c r="G26" s="7" t="s">
        <v>13</v>
      </c>
      <c r="H26" s="7" t="s">
        <v>205</v>
      </c>
      <c r="I26" s="8">
        <f ca="1">TODAY()</f>
        <v>45585</v>
      </c>
      <c r="J26" s="7">
        <f ca="1">All_Staff[[#This Row],[current date]]-All_Staff[[#This Row],[Date Joined]]</f>
        <v>884</v>
      </c>
      <c r="K26" s="9">
        <f ca="1">All_Staff[[#This Row],[tunure]]/365</f>
        <v>2.4219178082191779</v>
      </c>
      <c r="L26" s="19">
        <f ca="1">IF(All_Staff[[#This Row],[tunure in year]]&gt;3,3%,2%)*All_Staff[[#This Row],[Salary]]</f>
        <v>970.6</v>
      </c>
      <c r="M26" s="9">
        <f>_xlfn.XLOOKUP(All_Staff[[#This Row],[Rating]],'Salary vs Rating.'!$B$3:$B$7,'Salary vs Rating.'!$C$3:$C$7)</f>
        <v>4</v>
      </c>
      <c r="N26" s="9"/>
      <c r="O26" s="9"/>
    </row>
    <row r="27" spans="1:29" x14ac:dyDescent="0.25">
      <c r="A27" s="7" t="s">
        <v>144</v>
      </c>
      <c r="B27" s="7" t="s">
        <v>15</v>
      </c>
      <c r="C27" s="7" t="s">
        <v>9</v>
      </c>
      <c r="D27" s="7">
        <v>33</v>
      </c>
      <c r="E27" s="8">
        <v>44640</v>
      </c>
      <c r="F27" s="7">
        <v>48530</v>
      </c>
      <c r="G27" s="7" t="s">
        <v>13</v>
      </c>
      <c r="H27" s="7" t="s">
        <v>207</v>
      </c>
      <c r="I27" s="8">
        <f ca="1">TODAY()</f>
        <v>45585</v>
      </c>
      <c r="J27" s="7">
        <f ca="1">All_Staff[[#This Row],[current date]]-All_Staff[[#This Row],[Date Joined]]</f>
        <v>945</v>
      </c>
      <c r="K27" s="9">
        <f ca="1">All_Staff[[#This Row],[tunure]]/365</f>
        <v>2.5890410958904111</v>
      </c>
      <c r="L27" s="19">
        <f ca="1">IF(All_Staff[[#This Row],[tunure in year]]&gt;3,3%,2%)*All_Staff[[#This Row],[Salary]]</f>
        <v>970.6</v>
      </c>
      <c r="M27" s="9">
        <f>_xlfn.XLOOKUP(All_Staff[[#This Row],[Rating]],'Salary vs Rating.'!$B$3:$B$7,'Salary vs Rating.'!$C$3:$C$7)</f>
        <v>4</v>
      </c>
      <c r="N27" s="9"/>
      <c r="O27" s="9"/>
    </row>
    <row r="28" spans="1:29" x14ac:dyDescent="0.25">
      <c r="A28" s="7" t="s">
        <v>14</v>
      </c>
      <c r="B28" s="7" t="s">
        <v>15</v>
      </c>
      <c r="C28" s="7" t="s">
        <v>12</v>
      </c>
      <c r="D28" s="7">
        <v>31</v>
      </c>
      <c r="E28" s="8">
        <v>44511</v>
      </c>
      <c r="F28" s="7">
        <v>48950</v>
      </c>
      <c r="G28" s="7" t="s">
        <v>16</v>
      </c>
      <c r="H28" s="7" t="s">
        <v>205</v>
      </c>
      <c r="I28" s="8">
        <f ca="1">TODAY()</f>
        <v>45585</v>
      </c>
      <c r="J28" s="7">
        <f ca="1">All_Staff[[#This Row],[current date]]-All_Staff[[#This Row],[Date Joined]]</f>
        <v>1074</v>
      </c>
      <c r="K28" s="9">
        <f ca="1">All_Staff[[#This Row],[tunure]]/365</f>
        <v>2.9424657534246577</v>
      </c>
      <c r="L28" s="19">
        <f ca="1">IF(All_Staff[[#This Row],[tunure in year]]&gt;3,3%,2%)*All_Staff[[#This Row],[Salary]]</f>
        <v>979</v>
      </c>
      <c r="M28" s="9">
        <f>_xlfn.XLOOKUP(All_Staff[[#This Row],[Rating]],'Salary vs Rating.'!$B$3:$B$7,'Salary vs Rating.'!$C$3:$C$7)</f>
        <v>3</v>
      </c>
      <c r="N28" s="9"/>
      <c r="O28" s="9"/>
    </row>
    <row r="29" spans="1:29" x14ac:dyDescent="0.25">
      <c r="A29" s="7" t="s">
        <v>113</v>
      </c>
      <c r="B29" s="7" t="s">
        <v>15</v>
      </c>
      <c r="C29" s="7" t="s">
        <v>12</v>
      </c>
      <c r="D29" s="7">
        <v>31</v>
      </c>
      <c r="E29" s="8">
        <v>44450</v>
      </c>
      <c r="F29" s="7">
        <v>48950</v>
      </c>
      <c r="G29" s="7" t="s">
        <v>16</v>
      </c>
      <c r="H29" s="7" t="s">
        <v>207</v>
      </c>
      <c r="I29" s="8">
        <f ca="1">TODAY()</f>
        <v>45585</v>
      </c>
      <c r="J29" s="7">
        <f ca="1">All_Staff[[#This Row],[current date]]-All_Staff[[#This Row],[Date Joined]]</f>
        <v>1135</v>
      </c>
      <c r="K29" s="9">
        <f ca="1">All_Staff[[#This Row],[tunure]]/365</f>
        <v>3.1095890410958904</v>
      </c>
      <c r="L29" s="19">
        <f ca="1">IF(All_Staff[[#This Row],[tunure in year]]&gt;3,3%,2%)*All_Staff[[#This Row],[Salary]]</f>
        <v>1468.5</v>
      </c>
      <c r="M29" s="9">
        <f>_xlfn.XLOOKUP(All_Staff[[#This Row],[Rating]],'Salary vs Rating.'!$B$3:$B$7,'Salary vs Rating.'!$C$3:$C$7)</f>
        <v>3</v>
      </c>
      <c r="N29" s="9"/>
      <c r="O29" s="9"/>
    </row>
    <row r="30" spans="1:29" x14ac:dyDescent="0.25">
      <c r="A30" s="7" t="s">
        <v>53</v>
      </c>
      <c r="B30" s="7" t="s">
        <v>15</v>
      </c>
      <c r="C30" s="7" t="s">
        <v>21</v>
      </c>
      <c r="D30" s="7">
        <v>27</v>
      </c>
      <c r="E30" s="8">
        <v>44567</v>
      </c>
      <c r="F30" s="7">
        <v>48980</v>
      </c>
      <c r="G30" s="7" t="s">
        <v>16</v>
      </c>
      <c r="H30" s="7" t="s">
        <v>205</v>
      </c>
      <c r="I30" s="8">
        <f ca="1">TODAY()</f>
        <v>45585</v>
      </c>
      <c r="J30" s="7">
        <f ca="1">All_Staff[[#This Row],[current date]]-All_Staff[[#This Row],[Date Joined]]</f>
        <v>1018</v>
      </c>
      <c r="K30" s="9">
        <f ca="1">All_Staff[[#This Row],[tunure]]/365</f>
        <v>2.7890410958904108</v>
      </c>
      <c r="L30" s="19">
        <f ca="1">IF(All_Staff[[#This Row],[tunure in year]]&gt;3,3%,2%)*All_Staff[[#This Row],[Salary]]</f>
        <v>979.6</v>
      </c>
      <c r="M30" s="9">
        <f>_xlfn.XLOOKUP(All_Staff[[#This Row],[Rating]],'Salary vs Rating.'!$B$3:$B$7,'Salary vs Rating.'!$C$3:$C$7)</f>
        <v>3</v>
      </c>
      <c r="N30" s="9"/>
      <c r="O30" s="9"/>
    </row>
    <row r="31" spans="1:29" x14ac:dyDescent="0.25">
      <c r="A31" s="7" t="s">
        <v>146</v>
      </c>
      <c r="B31" s="7" t="s">
        <v>15</v>
      </c>
      <c r="C31" s="7" t="s">
        <v>21</v>
      </c>
      <c r="D31" s="7">
        <v>27</v>
      </c>
      <c r="E31" s="8">
        <v>44506</v>
      </c>
      <c r="F31" s="7">
        <v>48980</v>
      </c>
      <c r="G31" s="7" t="s">
        <v>16</v>
      </c>
      <c r="H31" s="7" t="s">
        <v>207</v>
      </c>
      <c r="I31" s="8">
        <f ca="1">TODAY()</f>
        <v>45585</v>
      </c>
      <c r="J31" s="7">
        <f ca="1">All_Staff[[#This Row],[current date]]-All_Staff[[#This Row],[Date Joined]]</f>
        <v>1079</v>
      </c>
      <c r="K31" s="9">
        <f ca="1">All_Staff[[#This Row],[tunure]]/365</f>
        <v>2.956164383561644</v>
      </c>
      <c r="L31" s="19">
        <f ca="1">IF(All_Staff[[#This Row],[tunure in year]]&gt;3,3%,2%)*All_Staff[[#This Row],[Salary]]</f>
        <v>979.6</v>
      </c>
      <c r="M31" s="9">
        <f>_xlfn.XLOOKUP(All_Staff[[#This Row],[Rating]],'Salary vs Rating.'!$B$3:$B$7,'Salary vs Rating.'!$C$3:$C$7)</f>
        <v>3</v>
      </c>
      <c r="N31" s="9"/>
      <c r="O31" s="9"/>
    </row>
    <row r="32" spans="1:29" x14ac:dyDescent="0.25">
      <c r="A32" s="7" t="s">
        <v>73</v>
      </c>
      <c r="B32" s="7" t="s">
        <v>8</v>
      </c>
      <c r="C32" s="7" t="s">
        <v>19</v>
      </c>
      <c r="D32" s="7">
        <v>34</v>
      </c>
      <c r="E32" s="8">
        <v>44721</v>
      </c>
      <c r="F32" s="7">
        <v>49630</v>
      </c>
      <c r="G32" s="7" t="s">
        <v>24</v>
      </c>
      <c r="H32" s="7" t="s">
        <v>205</v>
      </c>
      <c r="I32" s="8">
        <f ca="1">TODAY()</f>
        <v>45585</v>
      </c>
      <c r="J32" s="7">
        <f ca="1">All_Staff[[#This Row],[current date]]-All_Staff[[#This Row],[Date Joined]]</f>
        <v>864</v>
      </c>
      <c r="K32" s="9">
        <f ca="1">All_Staff[[#This Row],[tunure]]/365</f>
        <v>2.3671232876712329</v>
      </c>
      <c r="L32" s="19">
        <f ca="1">IF(All_Staff[[#This Row],[tunure in year]]&gt;3,3%,2%)*All_Staff[[#This Row],[Salary]]</f>
        <v>992.6</v>
      </c>
      <c r="M32" s="9">
        <f>_xlfn.XLOOKUP(All_Staff[[#This Row],[Rating]],'Salary vs Rating.'!$B$3:$B$7,'Salary vs Rating.'!$C$3:$C$7)</f>
        <v>2</v>
      </c>
      <c r="N32" s="9"/>
      <c r="O32" s="9"/>
    </row>
    <row r="33" spans="1:15" x14ac:dyDescent="0.25">
      <c r="A33" s="7" t="s">
        <v>165</v>
      </c>
      <c r="B33" s="7" t="s">
        <v>8</v>
      </c>
      <c r="C33" s="7" t="s">
        <v>19</v>
      </c>
      <c r="D33" s="7">
        <v>34</v>
      </c>
      <c r="E33" s="8">
        <v>44660</v>
      </c>
      <c r="F33" s="7">
        <v>49630</v>
      </c>
      <c r="G33" s="7" t="s">
        <v>24</v>
      </c>
      <c r="H33" s="7" t="s">
        <v>207</v>
      </c>
      <c r="I33" s="8">
        <f ca="1">TODAY()</f>
        <v>45585</v>
      </c>
      <c r="J33" s="7">
        <f ca="1">All_Staff[[#This Row],[current date]]-All_Staff[[#This Row],[Date Joined]]</f>
        <v>925</v>
      </c>
      <c r="K33" s="9">
        <f ca="1">All_Staff[[#This Row],[tunure]]/365</f>
        <v>2.5342465753424657</v>
      </c>
      <c r="L33" s="19">
        <f ca="1">IF(All_Staff[[#This Row],[tunure in year]]&gt;3,3%,2%)*All_Staff[[#This Row],[Salary]]</f>
        <v>992.6</v>
      </c>
      <c r="M33" s="9">
        <f>_xlfn.XLOOKUP(All_Staff[[#This Row],[Rating]],'Salary vs Rating.'!$B$3:$B$7,'Salary vs Rating.'!$C$3:$C$7)</f>
        <v>2</v>
      </c>
      <c r="N33" s="9"/>
      <c r="O33" s="9"/>
    </row>
    <row r="34" spans="1:15" x14ac:dyDescent="0.25">
      <c r="A34" s="7" t="s">
        <v>63</v>
      </c>
      <c r="B34" s="7" t="s">
        <v>15</v>
      </c>
      <c r="C34" s="7" t="s">
        <v>21</v>
      </c>
      <c r="D34" s="7">
        <v>24</v>
      </c>
      <c r="E34" s="8">
        <v>44436</v>
      </c>
      <c r="F34" s="7">
        <v>52610</v>
      </c>
      <c r="G34" s="7" t="s">
        <v>24</v>
      </c>
      <c r="H34" s="7" t="s">
        <v>205</v>
      </c>
      <c r="I34" s="8">
        <f ca="1">TODAY()</f>
        <v>45585</v>
      </c>
      <c r="J34" s="7">
        <f ca="1">All_Staff[[#This Row],[current date]]-All_Staff[[#This Row],[Date Joined]]</f>
        <v>1149</v>
      </c>
      <c r="K34" s="9">
        <f ca="1">All_Staff[[#This Row],[tunure]]/365</f>
        <v>3.1479452054794521</v>
      </c>
      <c r="L34" s="19">
        <f ca="1">IF(All_Staff[[#This Row],[tunure in year]]&gt;3,3%,2%)*All_Staff[[#This Row],[Salary]]</f>
        <v>1578.3</v>
      </c>
      <c r="M34" s="9">
        <f>_xlfn.XLOOKUP(All_Staff[[#This Row],[Rating]],'Salary vs Rating.'!$B$3:$B$7,'Salary vs Rating.'!$C$3:$C$7)</f>
        <v>2</v>
      </c>
      <c r="N34" s="9"/>
      <c r="O34" s="9"/>
    </row>
    <row r="35" spans="1:15" x14ac:dyDescent="0.25">
      <c r="A35" s="7" t="s">
        <v>155</v>
      </c>
      <c r="B35" s="7" t="s">
        <v>15</v>
      </c>
      <c r="C35" s="7" t="s">
        <v>21</v>
      </c>
      <c r="D35" s="7">
        <v>24</v>
      </c>
      <c r="E35" s="8">
        <v>44375</v>
      </c>
      <c r="F35" s="7">
        <v>52610</v>
      </c>
      <c r="G35" s="7" t="s">
        <v>24</v>
      </c>
      <c r="H35" s="7" t="s">
        <v>207</v>
      </c>
      <c r="I35" s="8">
        <f ca="1">TODAY()</f>
        <v>45585</v>
      </c>
      <c r="J35" s="7">
        <f ca="1">All_Staff[[#This Row],[current date]]-All_Staff[[#This Row],[Date Joined]]</f>
        <v>1210</v>
      </c>
      <c r="K35" s="9">
        <f ca="1">All_Staff[[#This Row],[tunure]]/365</f>
        <v>3.3150684931506849</v>
      </c>
      <c r="L35" s="19">
        <f ca="1">IF(All_Staff[[#This Row],[tunure in year]]&gt;3,3%,2%)*All_Staff[[#This Row],[Salary]]</f>
        <v>1578.3</v>
      </c>
      <c r="M35" s="9">
        <f>_xlfn.XLOOKUP(All_Staff[[#This Row],[Rating]],'Salary vs Rating.'!$B$3:$B$7,'Salary vs Rating.'!$C$3:$C$7)</f>
        <v>2</v>
      </c>
      <c r="N35" s="9"/>
      <c r="O35" s="9"/>
    </row>
    <row r="36" spans="1:15" x14ac:dyDescent="0.25">
      <c r="A36" s="7" t="s">
        <v>75</v>
      </c>
      <c r="B36" s="7" t="s">
        <v>8</v>
      </c>
      <c r="C36" s="7" t="s">
        <v>19</v>
      </c>
      <c r="D36" s="7">
        <v>28</v>
      </c>
      <c r="E36" s="8">
        <v>44357</v>
      </c>
      <c r="F36" s="7">
        <v>53240</v>
      </c>
      <c r="G36" s="7" t="s">
        <v>16</v>
      </c>
      <c r="H36" s="7" t="s">
        <v>205</v>
      </c>
      <c r="I36" s="8">
        <f ca="1">TODAY()</f>
        <v>45585</v>
      </c>
      <c r="J36" s="7">
        <f ca="1">All_Staff[[#This Row],[current date]]-All_Staff[[#This Row],[Date Joined]]</f>
        <v>1228</v>
      </c>
      <c r="K36" s="9">
        <f ca="1">All_Staff[[#This Row],[tunure]]/365</f>
        <v>3.3643835616438356</v>
      </c>
      <c r="L36" s="19">
        <f ca="1">IF(All_Staff[[#This Row],[tunure in year]]&gt;3,3%,2%)*All_Staff[[#This Row],[Salary]]</f>
        <v>1597.2</v>
      </c>
      <c r="M36" s="9">
        <f>_xlfn.XLOOKUP(All_Staff[[#This Row],[Rating]],'Salary vs Rating.'!$B$3:$B$7,'Salary vs Rating.'!$C$3:$C$7)</f>
        <v>3</v>
      </c>
      <c r="N36" s="9"/>
      <c r="O36" s="9"/>
    </row>
    <row r="37" spans="1:15" x14ac:dyDescent="0.25">
      <c r="A37" s="7" t="s">
        <v>167</v>
      </c>
      <c r="B37" s="7" t="s">
        <v>8</v>
      </c>
      <c r="C37" s="7" t="s">
        <v>19</v>
      </c>
      <c r="D37" s="7">
        <v>28</v>
      </c>
      <c r="E37" s="8">
        <v>44296</v>
      </c>
      <c r="F37" s="7">
        <v>53240</v>
      </c>
      <c r="G37" s="7" t="s">
        <v>16</v>
      </c>
      <c r="H37" s="7" t="s">
        <v>207</v>
      </c>
      <c r="I37" s="8">
        <f ca="1">TODAY()</f>
        <v>45585</v>
      </c>
      <c r="J37" s="7">
        <f ca="1">All_Staff[[#This Row],[current date]]-All_Staff[[#This Row],[Date Joined]]</f>
        <v>1289</v>
      </c>
      <c r="K37" s="9">
        <f ca="1">All_Staff[[#This Row],[tunure]]/365</f>
        <v>3.5315068493150683</v>
      </c>
      <c r="L37" s="19">
        <f ca="1">IF(All_Staff[[#This Row],[tunure in year]]&gt;3,3%,2%)*All_Staff[[#This Row],[Salary]]</f>
        <v>1597.2</v>
      </c>
      <c r="M37" s="9">
        <f>_xlfn.XLOOKUP(All_Staff[[#This Row],[Rating]],'Salary vs Rating.'!$B$3:$B$7,'Salary vs Rating.'!$C$3:$C$7)</f>
        <v>3</v>
      </c>
      <c r="N37" s="9"/>
      <c r="O37" s="9"/>
    </row>
    <row r="38" spans="1:15" x14ac:dyDescent="0.25">
      <c r="A38" s="7" t="s">
        <v>65</v>
      </c>
      <c r="B38" s="7" t="s">
        <v>15</v>
      </c>
      <c r="C38" s="7" t="s">
        <v>19</v>
      </c>
      <c r="D38" s="7">
        <v>32</v>
      </c>
      <c r="E38" s="8">
        <v>44465</v>
      </c>
      <c r="F38" s="7">
        <v>53540</v>
      </c>
      <c r="G38" s="7" t="s">
        <v>16</v>
      </c>
      <c r="H38" s="7" t="s">
        <v>205</v>
      </c>
      <c r="I38" s="8">
        <f ca="1">TODAY()</f>
        <v>45585</v>
      </c>
      <c r="J38" s="7">
        <f ca="1">All_Staff[[#This Row],[current date]]-All_Staff[[#This Row],[Date Joined]]</f>
        <v>1120</v>
      </c>
      <c r="K38" s="9">
        <f ca="1">All_Staff[[#This Row],[tunure]]/365</f>
        <v>3.0684931506849313</v>
      </c>
      <c r="L38" s="19">
        <f ca="1">IF(All_Staff[[#This Row],[tunure in year]]&gt;3,3%,2%)*All_Staff[[#This Row],[Salary]]</f>
        <v>1606.2</v>
      </c>
      <c r="M38" s="9">
        <f>_xlfn.XLOOKUP(All_Staff[[#This Row],[Rating]],'Salary vs Rating.'!$B$3:$B$7,'Salary vs Rating.'!$C$3:$C$7)</f>
        <v>3</v>
      </c>
      <c r="N38" s="9"/>
      <c r="O38" s="9"/>
    </row>
    <row r="39" spans="1:15" x14ac:dyDescent="0.25">
      <c r="A39" s="7" t="s">
        <v>46</v>
      </c>
      <c r="B39" s="7" t="s">
        <v>15</v>
      </c>
      <c r="C39" s="7" t="s">
        <v>9</v>
      </c>
      <c r="D39" s="7">
        <v>26</v>
      </c>
      <c r="E39" s="8">
        <v>44411</v>
      </c>
      <c r="F39" s="7">
        <v>53540</v>
      </c>
      <c r="G39" s="7" t="s">
        <v>16</v>
      </c>
      <c r="H39" s="7" t="s">
        <v>205</v>
      </c>
      <c r="I39" s="8">
        <f ca="1">TODAY()</f>
        <v>45585</v>
      </c>
      <c r="J39" s="7">
        <f ca="1">All_Staff[[#This Row],[current date]]-All_Staff[[#This Row],[Date Joined]]</f>
        <v>1174</v>
      </c>
      <c r="K39" s="9">
        <f ca="1">All_Staff[[#This Row],[tunure]]/365</f>
        <v>3.2164383561643834</v>
      </c>
      <c r="L39" s="19">
        <f ca="1">IF(All_Staff[[#This Row],[tunure in year]]&gt;3,3%,2%)*All_Staff[[#This Row],[Salary]]</f>
        <v>1606.2</v>
      </c>
      <c r="M39" s="9">
        <f>_xlfn.XLOOKUP(All_Staff[[#This Row],[Rating]],'Salary vs Rating.'!$B$3:$B$7,'Salary vs Rating.'!$C$3:$C$7)</f>
        <v>3</v>
      </c>
      <c r="N39" s="9"/>
      <c r="O39" s="9"/>
    </row>
    <row r="40" spans="1:15" x14ac:dyDescent="0.25">
      <c r="A40" s="7" t="s">
        <v>157</v>
      </c>
      <c r="B40" s="7" t="s">
        <v>15</v>
      </c>
      <c r="C40" s="7" t="s">
        <v>19</v>
      </c>
      <c r="D40" s="7">
        <v>32</v>
      </c>
      <c r="E40" s="8">
        <v>44403</v>
      </c>
      <c r="F40" s="7">
        <v>53540</v>
      </c>
      <c r="G40" s="7" t="s">
        <v>16</v>
      </c>
      <c r="H40" s="7" t="s">
        <v>207</v>
      </c>
      <c r="I40" s="8">
        <f ca="1">TODAY()</f>
        <v>45585</v>
      </c>
      <c r="J40" s="7">
        <f ca="1">All_Staff[[#This Row],[current date]]-All_Staff[[#This Row],[Date Joined]]</f>
        <v>1182</v>
      </c>
      <c r="K40" s="9">
        <f ca="1">All_Staff[[#This Row],[tunure]]/365</f>
        <v>3.2383561643835614</v>
      </c>
      <c r="L40" s="19">
        <f ca="1">IF(All_Staff[[#This Row],[tunure in year]]&gt;3,3%,2%)*All_Staff[[#This Row],[Salary]]</f>
        <v>1606.2</v>
      </c>
      <c r="M40" s="9">
        <f>_xlfn.XLOOKUP(All_Staff[[#This Row],[Rating]],'Salary vs Rating.'!$B$3:$B$7,'Salary vs Rating.'!$C$3:$C$7)</f>
        <v>3</v>
      </c>
      <c r="N40" s="9"/>
      <c r="O40" s="9"/>
    </row>
    <row r="41" spans="1:15" x14ac:dyDescent="0.25">
      <c r="A41" s="7" t="s">
        <v>139</v>
      </c>
      <c r="B41" s="7" t="s">
        <v>15</v>
      </c>
      <c r="C41" s="7" t="s">
        <v>9</v>
      </c>
      <c r="D41" s="7">
        <v>26</v>
      </c>
      <c r="E41" s="8">
        <v>44350</v>
      </c>
      <c r="F41" s="7">
        <v>53540</v>
      </c>
      <c r="G41" s="7" t="s">
        <v>16</v>
      </c>
      <c r="H41" s="7" t="s">
        <v>207</v>
      </c>
      <c r="I41" s="8">
        <f ca="1">TODAY()</f>
        <v>45585</v>
      </c>
      <c r="J41" s="7">
        <f ca="1">All_Staff[[#This Row],[current date]]-All_Staff[[#This Row],[Date Joined]]</f>
        <v>1235</v>
      </c>
      <c r="K41" s="9">
        <f ca="1">All_Staff[[#This Row],[tunure]]/365</f>
        <v>3.3835616438356166</v>
      </c>
      <c r="L41" s="19">
        <f ca="1">IF(All_Staff[[#This Row],[tunure in year]]&gt;3,3%,2%)*All_Staff[[#This Row],[Salary]]</f>
        <v>1606.2</v>
      </c>
      <c r="M41" s="9">
        <f>_xlfn.XLOOKUP(All_Staff[[#This Row],[Rating]],'Salary vs Rating.'!$B$3:$B$7,'Salary vs Rating.'!$C$3:$C$7)</f>
        <v>3</v>
      </c>
      <c r="N41" s="9"/>
      <c r="O41" s="9"/>
    </row>
    <row r="42" spans="1:15" x14ac:dyDescent="0.25">
      <c r="A42" s="7" t="s">
        <v>82</v>
      </c>
      <c r="B42" s="7" t="s">
        <v>15</v>
      </c>
      <c r="C42" s="7" t="s">
        <v>12</v>
      </c>
      <c r="D42" s="7">
        <v>33</v>
      </c>
      <c r="E42" s="8">
        <v>44509</v>
      </c>
      <c r="F42" s="7">
        <v>53870</v>
      </c>
      <c r="G42" s="7" t="s">
        <v>16</v>
      </c>
      <c r="H42" s="7" t="s">
        <v>205</v>
      </c>
      <c r="I42" s="8">
        <f ca="1">TODAY()</f>
        <v>45585</v>
      </c>
      <c r="J42" s="7">
        <f ca="1">All_Staff[[#This Row],[current date]]-All_Staff[[#This Row],[Date Joined]]</f>
        <v>1076</v>
      </c>
      <c r="K42" s="9">
        <f ca="1">All_Staff[[#This Row],[tunure]]/365</f>
        <v>2.9479452054794519</v>
      </c>
      <c r="L42" s="19">
        <f ca="1">IF(All_Staff[[#This Row],[tunure in year]]&gt;3,3%,2%)*All_Staff[[#This Row],[Salary]]</f>
        <v>1077.4000000000001</v>
      </c>
      <c r="M42" s="9">
        <f>_xlfn.XLOOKUP(All_Staff[[#This Row],[Rating]],'Salary vs Rating.'!$B$3:$B$7,'Salary vs Rating.'!$C$3:$C$7)</f>
        <v>3</v>
      </c>
      <c r="N42" s="9"/>
      <c r="O42" s="9"/>
    </row>
    <row r="43" spans="1:15" x14ac:dyDescent="0.25">
      <c r="A43" s="7" t="s">
        <v>174</v>
      </c>
      <c r="B43" s="7" t="s">
        <v>15</v>
      </c>
      <c r="C43" s="7" t="s">
        <v>12</v>
      </c>
      <c r="D43" s="7">
        <v>33</v>
      </c>
      <c r="E43" s="8">
        <v>44448</v>
      </c>
      <c r="F43" s="7">
        <v>53870</v>
      </c>
      <c r="G43" s="7" t="s">
        <v>16</v>
      </c>
      <c r="H43" s="7" t="s">
        <v>207</v>
      </c>
      <c r="I43" s="8">
        <f ca="1">TODAY()</f>
        <v>45585</v>
      </c>
      <c r="J43" s="7">
        <f ca="1">All_Staff[[#This Row],[current date]]-All_Staff[[#This Row],[Date Joined]]</f>
        <v>1137</v>
      </c>
      <c r="K43" s="9">
        <f ca="1">All_Staff[[#This Row],[tunure]]/365</f>
        <v>3.1150684931506851</v>
      </c>
      <c r="L43" s="19">
        <f ca="1">IF(All_Staff[[#This Row],[tunure in year]]&gt;3,3%,2%)*All_Staff[[#This Row],[Salary]]</f>
        <v>1616.1</v>
      </c>
      <c r="M43" s="9">
        <f>_xlfn.XLOOKUP(All_Staff[[#This Row],[Rating]],'Salary vs Rating.'!$B$3:$B$7,'Salary vs Rating.'!$C$3:$C$7)</f>
        <v>3</v>
      </c>
      <c r="N43" s="9"/>
      <c r="O43" s="9"/>
    </row>
    <row r="44" spans="1:15" x14ac:dyDescent="0.25">
      <c r="A44" s="7" t="s">
        <v>89</v>
      </c>
      <c r="B44" s="7" t="s">
        <v>15</v>
      </c>
      <c r="C44" s="7" t="s">
        <v>19</v>
      </c>
      <c r="D44" s="7">
        <v>27</v>
      </c>
      <c r="E44" s="8">
        <v>44134</v>
      </c>
      <c r="F44" s="7">
        <v>54970</v>
      </c>
      <c r="G44" s="7" t="s">
        <v>16</v>
      </c>
      <c r="H44" s="7" t="s">
        <v>205</v>
      </c>
      <c r="I44" s="8">
        <f ca="1">TODAY()</f>
        <v>45585</v>
      </c>
      <c r="J44" s="7">
        <f ca="1">All_Staff[[#This Row],[current date]]-All_Staff[[#This Row],[Date Joined]]</f>
        <v>1451</v>
      </c>
      <c r="K44" s="9">
        <f ca="1">All_Staff[[#This Row],[tunure]]/365</f>
        <v>3.9753424657534246</v>
      </c>
      <c r="L44" s="19">
        <f ca="1">IF(All_Staff[[#This Row],[tunure in year]]&gt;3,3%,2%)*All_Staff[[#This Row],[Salary]]</f>
        <v>1649.1</v>
      </c>
      <c r="M44" s="9">
        <f>_xlfn.XLOOKUP(All_Staff[[#This Row],[Rating]],'Salary vs Rating.'!$B$3:$B$7,'Salary vs Rating.'!$C$3:$C$7)</f>
        <v>3</v>
      </c>
      <c r="N44" s="9"/>
      <c r="O44" s="9"/>
    </row>
    <row r="45" spans="1:15" x14ac:dyDescent="0.25">
      <c r="A45" s="7" t="s">
        <v>182</v>
      </c>
      <c r="B45" s="7" t="s">
        <v>15</v>
      </c>
      <c r="C45" s="7" t="s">
        <v>19</v>
      </c>
      <c r="D45" s="7">
        <v>27</v>
      </c>
      <c r="E45" s="8">
        <v>44073</v>
      </c>
      <c r="F45" s="7">
        <v>54970</v>
      </c>
      <c r="G45" s="7" t="s">
        <v>16</v>
      </c>
      <c r="H45" s="7" t="s">
        <v>207</v>
      </c>
      <c r="I45" s="8">
        <f ca="1">TODAY()</f>
        <v>45585</v>
      </c>
      <c r="J45" s="7">
        <f ca="1">All_Staff[[#This Row],[current date]]-All_Staff[[#This Row],[Date Joined]]</f>
        <v>1512</v>
      </c>
      <c r="K45" s="9">
        <f ca="1">All_Staff[[#This Row],[tunure]]/365</f>
        <v>4.1424657534246574</v>
      </c>
      <c r="L45" s="19">
        <f ca="1">IF(All_Staff[[#This Row],[tunure in year]]&gt;3,3%,2%)*All_Staff[[#This Row],[Salary]]</f>
        <v>1649.1</v>
      </c>
      <c r="M45" s="9">
        <f>_xlfn.XLOOKUP(All_Staff[[#This Row],[Rating]],'Salary vs Rating.'!$B$3:$B$7,'Salary vs Rating.'!$C$3:$C$7)</f>
        <v>3</v>
      </c>
      <c r="N45" s="9"/>
      <c r="O45" s="9"/>
    </row>
    <row r="46" spans="1:15" x14ac:dyDescent="0.25">
      <c r="A46" s="7" t="s">
        <v>109</v>
      </c>
      <c r="B46" s="7" t="s">
        <v>8</v>
      </c>
      <c r="C46" s="7" t="s">
        <v>19</v>
      </c>
      <c r="D46" s="7">
        <v>38</v>
      </c>
      <c r="E46" s="8">
        <v>44329</v>
      </c>
      <c r="F46" s="7">
        <v>56870</v>
      </c>
      <c r="G46" s="7" t="s">
        <v>13</v>
      </c>
      <c r="H46" s="7" t="s">
        <v>205</v>
      </c>
      <c r="I46" s="8">
        <f ca="1">TODAY()</f>
        <v>45585</v>
      </c>
      <c r="J46" s="7">
        <f ca="1">All_Staff[[#This Row],[current date]]-All_Staff[[#This Row],[Date Joined]]</f>
        <v>1256</v>
      </c>
      <c r="K46" s="9">
        <f ca="1">All_Staff[[#This Row],[tunure]]/365</f>
        <v>3.441095890410959</v>
      </c>
      <c r="L46" s="19">
        <f ca="1">IF(All_Staff[[#This Row],[tunure in year]]&gt;3,3%,2%)*All_Staff[[#This Row],[Salary]]</f>
        <v>1706.1</v>
      </c>
      <c r="M46" s="9">
        <f>_xlfn.XLOOKUP(All_Staff[[#This Row],[Rating]],'Salary vs Rating.'!$B$3:$B$7,'Salary vs Rating.'!$C$3:$C$7)</f>
        <v>4</v>
      </c>
      <c r="N46" s="9"/>
      <c r="O46" s="9"/>
    </row>
    <row r="47" spans="1:15" x14ac:dyDescent="0.25">
      <c r="A47" s="7" t="s">
        <v>202</v>
      </c>
      <c r="B47" s="7" t="s">
        <v>8</v>
      </c>
      <c r="C47" s="7" t="s">
        <v>19</v>
      </c>
      <c r="D47" s="7">
        <v>38</v>
      </c>
      <c r="E47" s="8">
        <v>44268</v>
      </c>
      <c r="F47" s="7">
        <v>56870</v>
      </c>
      <c r="G47" s="7" t="s">
        <v>13</v>
      </c>
      <c r="H47" s="7" t="s">
        <v>207</v>
      </c>
      <c r="I47" s="8">
        <f ca="1">TODAY()</f>
        <v>45585</v>
      </c>
      <c r="J47" s="7">
        <f ca="1">All_Staff[[#This Row],[current date]]-All_Staff[[#This Row],[Date Joined]]</f>
        <v>1317</v>
      </c>
      <c r="K47" s="9">
        <f ca="1">All_Staff[[#This Row],[tunure]]/365</f>
        <v>3.6082191780821917</v>
      </c>
      <c r="L47" s="19">
        <f ca="1">IF(All_Staff[[#This Row],[tunure in year]]&gt;3,3%,2%)*All_Staff[[#This Row],[Salary]]</f>
        <v>1706.1</v>
      </c>
      <c r="M47" s="9">
        <f>_xlfn.XLOOKUP(All_Staff[[#This Row],[Rating]],'Salary vs Rating.'!$B$3:$B$7,'Salary vs Rating.'!$C$3:$C$7)</f>
        <v>4</v>
      </c>
      <c r="N47" s="9"/>
      <c r="O47" s="9"/>
    </row>
    <row r="48" spans="1:15" x14ac:dyDescent="0.25">
      <c r="A48" s="7" t="s">
        <v>31</v>
      </c>
      <c r="B48" s="7" t="s">
        <v>15</v>
      </c>
      <c r="C48" s="7" t="s">
        <v>9</v>
      </c>
      <c r="D48" s="7">
        <v>21</v>
      </c>
      <c r="E48" s="8">
        <v>44762</v>
      </c>
      <c r="F48" s="7">
        <v>57090</v>
      </c>
      <c r="G48" s="7" t="s">
        <v>16</v>
      </c>
      <c r="H48" s="7" t="s">
        <v>205</v>
      </c>
      <c r="I48" s="8">
        <f ca="1">TODAY()</f>
        <v>45585</v>
      </c>
      <c r="J48" s="7">
        <f ca="1">All_Staff[[#This Row],[current date]]-All_Staff[[#This Row],[Date Joined]]</f>
        <v>823</v>
      </c>
      <c r="K48" s="9">
        <f ca="1">All_Staff[[#This Row],[tunure]]/365</f>
        <v>2.2547945205479452</v>
      </c>
      <c r="L48" s="19">
        <f ca="1">IF(All_Staff[[#This Row],[tunure in year]]&gt;3,3%,2%)*All_Staff[[#This Row],[Salary]]</f>
        <v>1141.8</v>
      </c>
      <c r="M48" s="9">
        <f>_xlfn.XLOOKUP(All_Staff[[#This Row],[Rating]],'Salary vs Rating.'!$B$3:$B$7,'Salary vs Rating.'!$C$3:$C$7)</f>
        <v>3</v>
      </c>
      <c r="N48" s="9"/>
      <c r="O48" s="9"/>
    </row>
    <row r="49" spans="1:15" x14ac:dyDescent="0.25">
      <c r="A49" s="7" t="s">
        <v>125</v>
      </c>
      <c r="B49" s="7" t="s">
        <v>15</v>
      </c>
      <c r="C49" s="7" t="s">
        <v>9</v>
      </c>
      <c r="D49" s="7">
        <v>21</v>
      </c>
      <c r="E49" s="8">
        <v>44701</v>
      </c>
      <c r="F49" s="7">
        <v>57090</v>
      </c>
      <c r="G49" s="7" t="s">
        <v>16</v>
      </c>
      <c r="H49" s="7" t="s">
        <v>207</v>
      </c>
      <c r="I49" s="8">
        <f ca="1">TODAY()</f>
        <v>45585</v>
      </c>
      <c r="J49" s="7">
        <f ca="1">All_Staff[[#This Row],[current date]]-All_Staff[[#This Row],[Date Joined]]</f>
        <v>884</v>
      </c>
      <c r="K49" s="9">
        <f ca="1">All_Staff[[#This Row],[tunure]]/365</f>
        <v>2.4219178082191779</v>
      </c>
      <c r="L49" s="19">
        <f ca="1">IF(All_Staff[[#This Row],[tunure in year]]&gt;3,3%,2%)*All_Staff[[#This Row],[Salary]]</f>
        <v>1141.8</v>
      </c>
      <c r="M49" s="9">
        <f>_xlfn.XLOOKUP(All_Staff[[#This Row],[Rating]],'Salary vs Rating.'!$B$3:$B$7,'Salary vs Rating.'!$C$3:$C$7)</f>
        <v>3</v>
      </c>
      <c r="N49" s="9"/>
      <c r="O49" s="9"/>
    </row>
    <row r="50" spans="1:15" x14ac:dyDescent="0.25">
      <c r="A50" s="7" t="s">
        <v>26</v>
      </c>
      <c r="B50" s="7" t="s">
        <v>8</v>
      </c>
      <c r="C50" s="7" t="s">
        <v>12</v>
      </c>
      <c r="D50" s="7">
        <v>31</v>
      </c>
      <c r="E50" s="8">
        <v>44663</v>
      </c>
      <c r="F50" s="7">
        <v>58100</v>
      </c>
      <c r="G50" s="7" t="s">
        <v>16</v>
      </c>
      <c r="H50" s="7" t="s">
        <v>205</v>
      </c>
      <c r="I50" s="8">
        <f ca="1">TODAY()</f>
        <v>45585</v>
      </c>
      <c r="J50" s="7">
        <f ca="1">All_Staff[[#This Row],[current date]]-All_Staff[[#This Row],[Date Joined]]</f>
        <v>922</v>
      </c>
      <c r="K50" s="9">
        <f ca="1">All_Staff[[#This Row],[tunure]]/365</f>
        <v>2.526027397260274</v>
      </c>
      <c r="L50" s="19">
        <f ca="1">IF(All_Staff[[#This Row],[tunure in year]]&gt;3,3%,2%)*All_Staff[[#This Row],[Salary]]</f>
        <v>1162</v>
      </c>
      <c r="M50" s="9">
        <f>_xlfn.XLOOKUP(All_Staff[[#This Row],[Rating]],'Salary vs Rating.'!$B$3:$B$7,'Salary vs Rating.'!$C$3:$C$7)</f>
        <v>3</v>
      </c>
      <c r="N50" s="9"/>
      <c r="O50" s="9"/>
    </row>
    <row r="51" spans="1:15" x14ac:dyDescent="0.25">
      <c r="A51" s="7" t="s">
        <v>120</v>
      </c>
      <c r="B51" s="7" t="s">
        <v>8</v>
      </c>
      <c r="C51" s="7" t="s">
        <v>12</v>
      </c>
      <c r="D51" s="7">
        <v>31</v>
      </c>
      <c r="E51" s="8">
        <v>44604</v>
      </c>
      <c r="F51" s="7">
        <v>58100</v>
      </c>
      <c r="G51" s="7" t="s">
        <v>16</v>
      </c>
      <c r="H51" s="7" t="s">
        <v>207</v>
      </c>
      <c r="I51" s="8">
        <f ca="1">TODAY()</f>
        <v>45585</v>
      </c>
      <c r="J51" s="7">
        <f ca="1">All_Staff[[#This Row],[current date]]-All_Staff[[#This Row],[Date Joined]]</f>
        <v>981</v>
      </c>
      <c r="K51" s="9">
        <f ca="1">All_Staff[[#This Row],[tunure]]/365</f>
        <v>2.6876712328767125</v>
      </c>
      <c r="L51" s="19">
        <f ca="1">IF(All_Staff[[#This Row],[tunure in year]]&gt;3,3%,2%)*All_Staff[[#This Row],[Salary]]</f>
        <v>1162</v>
      </c>
      <c r="M51" s="9">
        <f>_xlfn.XLOOKUP(All_Staff[[#This Row],[Rating]],'Salary vs Rating.'!$B$3:$B$7,'Salary vs Rating.'!$C$3:$C$7)</f>
        <v>3</v>
      </c>
      <c r="N51" s="9"/>
      <c r="O51" s="9"/>
    </row>
    <row r="52" spans="1:15" x14ac:dyDescent="0.25">
      <c r="A52" s="7" t="s">
        <v>36</v>
      </c>
      <c r="B52" s="7" t="s">
        <v>8</v>
      </c>
      <c r="C52" s="7" t="s">
        <v>21</v>
      </c>
      <c r="D52" s="7">
        <v>34</v>
      </c>
      <c r="E52" s="8">
        <v>44653</v>
      </c>
      <c r="F52" s="7">
        <v>58940</v>
      </c>
      <c r="G52" s="7" t="s">
        <v>16</v>
      </c>
      <c r="H52" s="7" t="s">
        <v>205</v>
      </c>
      <c r="I52" s="8">
        <f ca="1">TODAY()</f>
        <v>45585</v>
      </c>
      <c r="J52" s="7">
        <f ca="1">All_Staff[[#This Row],[current date]]-All_Staff[[#This Row],[Date Joined]]</f>
        <v>932</v>
      </c>
      <c r="K52" s="9">
        <f ca="1">All_Staff[[#This Row],[tunure]]/365</f>
        <v>2.5534246575342467</v>
      </c>
      <c r="L52" s="19">
        <f ca="1">IF(All_Staff[[#This Row],[tunure in year]]&gt;3,3%,2%)*All_Staff[[#This Row],[Salary]]</f>
        <v>1178.8</v>
      </c>
      <c r="M52" s="9">
        <f>_xlfn.XLOOKUP(All_Staff[[#This Row],[Rating]],'Salary vs Rating.'!$B$3:$B$7,'Salary vs Rating.'!$C$3:$C$7)</f>
        <v>3</v>
      </c>
      <c r="N52" s="9"/>
      <c r="O52" s="9"/>
    </row>
    <row r="53" spans="1:15" x14ac:dyDescent="0.25">
      <c r="A53" s="7" t="s">
        <v>130</v>
      </c>
      <c r="B53" s="7" t="s">
        <v>8</v>
      </c>
      <c r="C53" s="7" t="s">
        <v>21</v>
      </c>
      <c r="D53" s="7">
        <v>34</v>
      </c>
      <c r="E53" s="8">
        <v>44594</v>
      </c>
      <c r="F53" s="7">
        <v>58940</v>
      </c>
      <c r="G53" s="7" t="s">
        <v>16</v>
      </c>
      <c r="H53" s="7" t="s">
        <v>207</v>
      </c>
      <c r="I53" s="8">
        <f ca="1">TODAY()</f>
        <v>45585</v>
      </c>
      <c r="J53" s="7">
        <f ca="1">All_Staff[[#This Row],[current date]]-All_Staff[[#This Row],[Date Joined]]</f>
        <v>991</v>
      </c>
      <c r="K53" s="9">
        <f ca="1">All_Staff[[#This Row],[tunure]]/365</f>
        <v>2.7150684931506848</v>
      </c>
      <c r="L53" s="19">
        <f ca="1">IF(All_Staff[[#This Row],[tunure in year]]&gt;3,3%,2%)*All_Staff[[#This Row],[Salary]]</f>
        <v>1178.8</v>
      </c>
      <c r="M53" s="9">
        <f>_xlfn.XLOOKUP(All_Staff[[#This Row],[Rating]],'Salary vs Rating.'!$B$3:$B$7,'Salary vs Rating.'!$C$3:$C$7)</f>
        <v>3</v>
      </c>
      <c r="N53" s="9"/>
      <c r="O53" s="9"/>
    </row>
    <row r="54" spans="1:15" x14ac:dyDescent="0.25">
      <c r="A54" s="7" t="s">
        <v>100</v>
      </c>
      <c r="B54" s="7" t="s">
        <v>15</v>
      </c>
      <c r="C54" s="7" t="s">
        <v>9</v>
      </c>
      <c r="D54" s="7">
        <v>19</v>
      </c>
      <c r="E54" s="8">
        <v>44277</v>
      </c>
      <c r="F54" s="7">
        <v>58960</v>
      </c>
      <c r="G54" s="7" t="s">
        <v>16</v>
      </c>
      <c r="H54" s="7" t="s">
        <v>205</v>
      </c>
      <c r="I54" s="8">
        <f ca="1">TODAY()</f>
        <v>45585</v>
      </c>
      <c r="J54" s="7">
        <f ca="1">All_Staff[[#This Row],[current date]]-All_Staff[[#This Row],[Date Joined]]</f>
        <v>1308</v>
      </c>
      <c r="K54" s="9">
        <f ca="1">All_Staff[[#This Row],[tunure]]/365</f>
        <v>3.5835616438356164</v>
      </c>
      <c r="L54" s="19">
        <f ca="1">IF(All_Staff[[#This Row],[tunure in year]]&gt;3,3%,2%)*All_Staff[[#This Row],[Salary]]</f>
        <v>1768.8</v>
      </c>
      <c r="M54" s="9">
        <f>_xlfn.XLOOKUP(All_Staff[[#This Row],[Rating]],'Salary vs Rating.'!$B$3:$B$7,'Salary vs Rating.'!$C$3:$C$7)</f>
        <v>3</v>
      </c>
      <c r="N54" s="9"/>
      <c r="O54" s="9"/>
    </row>
    <row r="55" spans="1:15" x14ac:dyDescent="0.25">
      <c r="A55" s="7" t="s">
        <v>193</v>
      </c>
      <c r="B55" s="7" t="s">
        <v>15</v>
      </c>
      <c r="C55" s="7" t="s">
        <v>9</v>
      </c>
      <c r="D55" s="7">
        <v>19</v>
      </c>
      <c r="E55" s="8">
        <v>44218</v>
      </c>
      <c r="F55" s="7">
        <v>58960</v>
      </c>
      <c r="G55" s="7" t="s">
        <v>16</v>
      </c>
      <c r="H55" s="7" t="s">
        <v>207</v>
      </c>
      <c r="I55" s="8">
        <f ca="1">TODAY()</f>
        <v>45585</v>
      </c>
      <c r="J55" s="7">
        <f ca="1">All_Staff[[#This Row],[current date]]-All_Staff[[#This Row],[Date Joined]]</f>
        <v>1367</v>
      </c>
      <c r="K55" s="9">
        <f ca="1">All_Staff[[#This Row],[tunure]]/365</f>
        <v>3.7452054794520548</v>
      </c>
      <c r="L55" s="19">
        <f ca="1">IF(All_Staff[[#This Row],[tunure in year]]&gt;3,3%,2%)*All_Staff[[#This Row],[Salary]]</f>
        <v>1768.8</v>
      </c>
      <c r="M55" s="9">
        <f>_xlfn.XLOOKUP(All_Staff[[#This Row],[Rating]],'Salary vs Rating.'!$B$3:$B$7,'Salary vs Rating.'!$C$3:$C$7)</f>
        <v>3</v>
      </c>
      <c r="N55" s="9"/>
      <c r="O55" s="9"/>
    </row>
    <row r="56" spans="1:15" x14ac:dyDescent="0.25">
      <c r="A56" s="7" t="s">
        <v>79</v>
      </c>
      <c r="B56" s="7" t="s">
        <v>15</v>
      </c>
      <c r="C56" s="7" t="s">
        <v>21</v>
      </c>
      <c r="D56" s="7">
        <v>33</v>
      </c>
      <c r="E56" s="8">
        <v>44243</v>
      </c>
      <c r="F56" s="7">
        <v>59430</v>
      </c>
      <c r="G56" s="7" t="s">
        <v>16</v>
      </c>
      <c r="H56" s="7" t="s">
        <v>205</v>
      </c>
      <c r="I56" s="8">
        <f ca="1">TODAY()</f>
        <v>45585</v>
      </c>
      <c r="J56" s="7">
        <f ca="1">All_Staff[[#This Row],[current date]]-All_Staff[[#This Row],[Date Joined]]</f>
        <v>1342</v>
      </c>
      <c r="K56" s="9">
        <f ca="1">All_Staff[[#This Row],[tunure]]/365</f>
        <v>3.6767123287671235</v>
      </c>
      <c r="L56" s="19">
        <f ca="1">IF(All_Staff[[#This Row],[tunure in year]]&gt;3,3%,2%)*All_Staff[[#This Row],[Salary]]</f>
        <v>1782.8999999999999</v>
      </c>
      <c r="M56" s="9">
        <f>_xlfn.XLOOKUP(All_Staff[[#This Row],[Rating]],'Salary vs Rating.'!$B$3:$B$7,'Salary vs Rating.'!$C$3:$C$7)</f>
        <v>3</v>
      </c>
      <c r="N56" s="9"/>
      <c r="O56" s="9"/>
    </row>
    <row r="57" spans="1:15" x14ac:dyDescent="0.25">
      <c r="A57" s="7" t="s">
        <v>171</v>
      </c>
      <c r="B57" s="7" t="s">
        <v>15</v>
      </c>
      <c r="C57" s="7" t="s">
        <v>21</v>
      </c>
      <c r="D57" s="7">
        <v>33</v>
      </c>
      <c r="E57" s="8">
        <v>44181</v>
      </c>
      <c r="F57" s="7">
        <v>59430</v>
      </c>
      <c r="G57" s="7" t="s">
        <v>16</v>
      </c>
      <c r="H57" s="7" t="s">
        <v>207</v>
      </c>
      <c r="I57" s="8">
        <f ca="1">TODAY()</f>
        <v>45585</v>
      </c>
      <c r="J57" s="7">
        <f ca="1">All_Staff[[#This Row],[current date]]-All_Staff[[#This Row],[Date Joined]]</f>
        <v>1404</v>
      </c>
      <c r="K57" s="9">
        <f ca="1">All_Staff[[#This Row],[tunure]]/365</f>
        <v>3.8465753424657536</v>
      </c>
      <c r="L57" s="19">
        <f ca="1">IF(All_Staff[[#This Row],[tunure in year]]&gt;3,3%,2%)*All_Staff[[#This Row],[Salary]]</f>
        <v>1782.8999999999999</v>
      </c>
      <c r="M57" s="9">
        <f>_xlfn.XLOOKUP(All_Staff[[#This Row],[Rating]],'Salary vs Rating.'!$B$3:$B$7,'Salary vs Rating.'!$C$3:$C$7)</f>
        <v>3</v>
      </c>
      <c r="N57" s="9"/>
      <c r="O57" s="9"/>
    </row>
    <row r="58" spans="1:15" x14ac:dyDescent="0.25">
      <c r="A58" s="7" t="s">
        <v>38</v>
      </c>
      <c r="B58" s="7" t="s">
        <v>8</v>
      </c>
      <c r="C58" s="7" t="s">
        <v>21</v>
      </c>
      <c r="D58" s="7">
        <v>34</v>
      </c>
      <c r="E58" s="8">
        <v>44612</v>
      </c>
      <c r="F58" s="7">
        <v>60130</v>
      </c>
      <c r="G58" s="7" t="s">
        <v>16</v>
      </c>
      <c r="H58" s="7" t="s">
        <v>205</v>
      </c>
      <c r="I58" s="8">
        <f ca="1">TODAY()</f>
        <v>45585</v>
      </c>
      <c r="J58" s="7">
        <f ca="1">All_Staff[[#This Row],[current date]]-All_Staff[[#This Row],[Date Joined]]</f>
        <v>973</v>
      </c>
      <c r="K58" s="9">
        <f ca="1">All_Staff[[#This Row],[tunure]]/365</f>
        <v>2.6657534246575341</v>
      </c>
      <c r="L58" s="19">
        <f ca="1">IF(All_Staff[[#This Row],[tunure in year]]&gt;3,3%,2%)*All_Staff[[#This Row],[Salary]]</f>
        <v>1202.6000000000001</v>
      </c>
      <c r="M58" s="9">
        <f>_xlfn.XLOOKUP(All_Staff[[#This Row],[Rating]],'Salary vs Rating.'!$B$3:$B$7,'Salary vs Rating.'!$C$3:$C$7)</f>
        <v>3</v>
      </c>
      <c r="N58" s="9"/>
      <c r="O58" s="9"/>
    </row>
    <row r="59" spans="1:15" x14ac:dyDescent="0.25">
      <c r="A59" s="7" t="s">
        <v>132</v>
      </c>
      <c r="B59" s="7" t="s">
        <v>8</v>
      </c>
      <c r="C59" s="7" t="s">
        <v>21</v>
      </c>
      <c r="D59" s="7">
        <v>34</v>
      </c>
      <c r="E59" s="8">
        <v>44550</v>
      </c>
      <c r="F59" s="7">
        <v>60130</v>
      </c>
      <c r="G59" s="7" t="s">
        <v>16</v>
      </c>
      <c r="H59" s="7" t="s">
        <v>207</v>
      </c>
      <c r="I59" s="8">
        <f ca="1">TODAY()</f>
        <v>45585</v>
      </c>
      <c r="J59" s="7">
        <f ca="1">All_Staff[[#This Row],[current date]]-All_Staff[[#This Row],[Date Joined]]</f>
        <v>1035</v>
      </c>
      <c r="K59" s="9">
        <f ca="1">All_Staff[[#This Row],[tunure]]/365</f>
        <v>2.8356164383561642</v>
      </c>
      <c r="L59" s="19">
        <f ca="1">IF(All_Staff[[#This Row],[tunure in year]]&gt;3,3%,2%)*All_Staff[[#This Row],[Salary]]</f>
        <v>1202.6000000000001</v>
      </c>
      <c r="M59" s="9">
        <f>_xlfn.XLOOKUP(All_Staff[[#This Row],[Rating]],'Salary vs Rating.'!$B$3:$B$7,'Salary vs Rating.'!$C$3:$C$7)</f>
        <v>3</v>
      </c>
      <c r="N59" s="9"/>
      <c r="O59" s="9"/>
    </row>
    <row r="60" spans="1:15" x14ac:dyDescent="0.25">
      <c r="A60" s="7" t="s">
        <v>37</v>
      </c>
      <c r="B60" s="7" t="s">
        <v>15</v>
      </c>
      <c r="C60" s="7" t="s">
        <v>9</v>
      </c>
      <c r="D60" s="7">
        <v>30</v>
      </c>
      <c r="E60" s="8">
        <v>44666</v>
      </c>
      <c r="F60" s="7">
        <v>60570</v>
      </c>
      <c r="G60" s="7" t="s">
        <v>16</v>
      </c>
      <c r="H60" s="7" t="s">
        <v>205</v>
      </c>
      <c r="I60" s="8">
        <f ca="1">TODAY()</f>
        <v>45585</v>
      </c>
      <c r="J60" s="7">
        <f ca="1">All_Staff[[#This Row],[current date]]-All_Staff[[#This Row],[Date Joined]]</f>
        <v>919</v>
      </c>
      <c r="K60" s="9">
        <f ca="1">All_Staff[[#This Row],[tunure]]/365</f>
        <v>2.5178082191780824</v>
      </c>
      <c r="L60" s="19">
        <f ca="1">IF(All_Staff[[#This Row],[tunure in year]]&gt;3,3%,2%)*All_Staff[[#This Row],[Salary]]</f>
        <v>1211.4000000000001</v>
      </c>
      <c r="M60" s="9">
        <f>_xlfn.XLOOKUP(All_Staff[[#This Row],[Rating]],'Salary vs Rating.'!$B$3:$B$7,'Salary vs Rating.'!$C$3:$C$7)</f>
        <v>3</v>
      </c>
      <c r="N60" s="9"/>
      <c r="O60" s="9"/>
    </row>
    <row r="61" spans="1:15" x14ac:dyDescent="0.25">
      <c r="A61" s="7" t="s">
        <v>131</v>
      </c>
      <c r="B61" s="7" t="s">
        <v>15</v>
      </c>
      <c r="C61" s="7" t="s">
        <v>9</v>
      </c>
      <c r="D61" s="7">
        <v>30</v>
      </c>
      <c r="E61" s="8">
        <v>44607</v>
      </c>
      <c r="F61" s="7">
        <v>60570</v>
      </c>
      <c r="G61" s="7" t="s">
        <v>16</v>
      </c>
      <c r="H61" s="7" t="s">
        <v>207</v>
      </c>
      <c r="I61" s="8">
        <f ca="1">TODAY()</f>
        <v>45585</v>
      </c>
      <c r="J61" s="7">
        <f ca="1">All_Staff[[#This Row],[current date]]-All_Staff[[#This Row],[Date Joined]]</f>
        <v>978</v>
      </c>
      <c r="K61" s="9">
        <f ca="1">All_Staff[[#This Row],[tunure]]/365</f>
        <v>2.6794520547945204</v>
      </c>
      <c r="L61" s="19">
        <f ca="1">IF(All_Staff[[#This Row],[tunure in year]]&gt;3,3%,2%)*All_Staff[[#This Row],[Salary]]</f>
        <v>1211.4000000000001</v>
      </c>
      <c r="M61" s="9">
        <f>_xlfn.XLOOKUP(All_Staff[[#This Row],[Rating]],'Salary vs Rating.'!$B$3:$B$7,'Salary vs Rating.'!$C$3:$C$7)</f>
        <v>3</v>
      </c>
      <c r="N61" s="9"/>
      <c r="O61" s="9"/>
    </row>
    <row r="62" spans="1:15" x14ac:dyDescent="0.25">
      <c r="A62" s="7" t="s">
        <v>61</v>
      </c>
      <c r="B62" s="7" t="s">
        <v>8</v>
      </c>
      <c r="C62" s="7" t="s">
        <v>12</v>
      </c>
      <c r="D62" s="7">
        <v>24</v>
      </c>
      <c r="E62" s="8">
        <v>44148</v>
      </c>
      <c r="F62" s="7">
        <v>62780</v>
      </c>
      <c r="G62" s="7" t="s">
        <v>16</v>
      </c>
      <c r="H62" s="7" t="s">
        <v>205</v>
      </c>
      <c r="I62" s="8">
        <f ca="1">TODAY()</f>
        <v>45585</v>
      </c>
      <c r="J62" s="7">
        <f ca="1">All_Staff[[#This Row],[current date]]-All_Staff[[#This Row],[Date Joined]]</f>
        <v>1437</v>
      </c>
      <c r="K62" s="9">
        <f ca="1">All_Staff[[#This Row],[tunure]]/365</f>
        <v>3.9369863013698629</v>
      </c>
      <c r="L62" s="19">
        <f ca="1">IF(All_Staff[[#This Row],[tunure in year]]&gt;3,3%,2%)*All_Staff[[#This Row],[Salary]]</f>
        <v>1883.3999999999999</v>
      </c>
      <c r="M62" s="9">
        <f>_xlfn.XLOOKUP(All_Staff[[#This Row],[Rating]],'Salary vs Rating.'!$B$3:$B$7,'Salary vs Rating.'!$C$3:$C$7)</f>
        <v>3</v>
      </c>
      <c r="N62" s="9"/>
      <c r="O62" s="9"/>
    </row>
    <row r="63" spans="1:15" x14ac:dyDescent="0.25">
      <c r="A63" s="7" t="s">
        <v>153</v>
      </c>
      <c r="B63" s="7" t="s">
        <v>8</v>
      </c>
      <c r="C63" s="7" t="s">
        <v>12</v>
      </c>
      <c r="D63" s="7">
        <v>24</v>
      </c>
      <c r="E63" s="8">
        <v>44087</v>
      </c>
      <c r="F63" s="7">
        <v>62780</v>
      </c>
      <c r="G63" s="7" t="s">
        <v>16</v>
      </c>
      <c r="H63" s="7" t="s">
        <v>207</v>
      </c>
      <c r="I63" s="8">
        <f ca="1">TODAY()</f>
        <v>45585</v>
      </c>
      <c r="J63" s="7">
        <f ca="1">All_Staff[[#This Row],[current date]]-All_Staff[[#This Row],[Date Joined]]</f>
        <v>1498</v>
      </c>
      <c r="K63" s="9">
        <f ca="1">All_Staff[[#This Row],[tunure]]/365</f>
        <v>4.1041095890410961</v>
      </c>
      <c r="L63" s="19">
        <f ca="1">IF(All_Staff[[#This Row],[tunure in year]]&gt;3,3%,2%)*All_Staff[[#This Row],[Salary]]</f>
        <v>1883.3999999999999</v>
      </c>
      <c r="M63" s="9">
        <f>_xlfn.XLOOKUP(All_Staff[[#This Row],[Rating]],'Salary vs Rating.'!$B$3:$B$7,'Salary vs Rating.'!$C$3:$C$7)</f>
        <v>3</v>
      </c>
      <c r="N63" s="9"/>
      <c r="O63" s="9"/>
    </row>
    <row r="64" spans="1:15" x14ac:dyDescent="0.25">
      <c r="A64" s="7" t="s">
        <v>20</v>
      </c>
      <c r="B64" s="7" t="s">
        <v>206</v>
      </c>
      <c r="C64" s="7" t="s">
        <v>21</v>
      </c>
      <c r="D64" s="7">
        <v>30</v>
      </c>
      <c r="E64" s="8">
        <v>44597</v>
      </c>
      <c r="F64" s="7">
        <v>64000</v>
      </c>
      <c r="G64" s="7" t="s">
        <v>16</v>
      </c>
      <c r="H64" s="7" t="s">
        <v>205</v>
      </c>
      <c r="I64" s="8">
        <f ca="1">TODAY()</f>
        <v>45585</v>
      </c>
      <c r="J64" s="7">
        <f ca="1">All_Staff[[#This Row],[current date]]-All_Staff[[#This Row],[Date Joined]]</f>
        <v>988</v>
      </c>
      <c r="K64" s="9">
        <f ca="1">All_Staff[[#This Row],[tunure]]/365</f>
        <v>2.7068493150684931</v>
      </c>
      <c r="L64" s="19">
        <f ca="1">IF(All_Staff[[#This Row],[tunure in year]]&gt;3,3%,2%)*All_Staff[[#This Row],[Salary]]</f>
        <v>1280</v>
      </c>
      <c r="M64" s="9">
        <f>_xlfn.XLOOKUP(All_Staff[[#This Row],[Rating]],'Salary vs Rating.'!$B$3:$B$7,'Salary vs Rating.'!$C$3:$C$7)</f>
        <v>3</v>
      </c>
      <c r="N64" s="9"/>
      <c r="O64" s="9"/>
    </row>
    <row r="65" spans="1:15" x14ac:dyDescent="0.25">
      <c r="A65" s="7" t="s">
        <v>116</v>
      </c>
      <c r="B65" s="7" t="s">
        <v>206</v>
      </c>
      <c r="C65" s="7" t="s">
        <v>21</v>
      </c>
      <c r="D65" s="7">
        <v>30</v>
      </c>
      <c r="E65" s="8">
        <v>44535</v>
      </c>
      <c r="F65" s="7">
        <v>64000</v>
      </c>
      <c r="G65" s="7" t="s">
        <v>16</v>
      </c>
      <c r="H65" s="7" t="s">
        <v>207</v>
      </c>
      <c r="I65" s="8">
        <f ca="1">TODAY()</f>
        <v>45585</v>
      </c>
      <c r="J65" s="7">
        <f ca="1">All_Staff[[#This Row],[current date]]-All_Staff[[#This Row],[Date Joined]]</f>
        <v>1050</v>
      </c>
      <c r="K65" s="9">
        <f ca="1">All_Staff[[#This Row],[tunure]]/365</f>
        <v>2.8767123287671232</v>
      </c>
      <c r="L65" s="19">
        <f ca="1">IF(All_Staff[[#This Row],[tunure in year]]&gt;3,3%,2%)*All_Staff[[#This Row],[Salary]]</f>
        <v>1280</v>
      </c>
      <c r="M65" s="9">
        <f>_xlfn.XLOOKUP(All_Staff[[#This Row],[Rating]],'Salary vs Rating.'!$B$3:$B$7,'Salary vs Rating.'!$C$3:$C$7)</f>
        <v>3</v>
      </c>
      <c r="N65" s="9"/>
      <c r="O65" s="9"/>
    </row>
    <row r="66" spans="1:15" x14ac:dyDescent="0.25">
      <c r="A66" s="7" t="s">
        <v>93</v>
      </c>
      <c r="B66" s="7" t="s">
        <v>8</v>
      </c>
      <c r="C66" s="7" t="s">
        <v>21</v>
      </c>
      <c r="D66" s="7">
        <v>33</v>
      </c>
      <c r="E66" s="8">
        <v>44067</v>
      </c>
      <c r="F66" s="7">
        <v>65360</v>
      </c>
      <c r="G66" s="7" t="s">
        <v>16</v>
      </c>
      <c r="H66" s="7" t="s">
        <v>205</v>
      </c>
      <c r="I66" s="8">
        <f ca="1">TODAY()</f>
        <v>45585</v>
      </c>
      <c r="J66" s="7">
        <f ca="1">All_Staff[[#This Row],[current date]]-All_Staff[[#This Row],[Date Joined]]</f>
        <v>1518</v>
      </c>
      <c r="K66" s="9">
        <f ca="1">All_Staff[[#This Row],[tunure]]/365</f>
        <v>4.1589041095890407</v>
      </c>
      <c r="L66" s="19">
        <f ca="1">IF(All_Staff[[#This Row],[tunure in year]]&gt;3,3%,2%)*All_Staff[[#This Row],[Salary]]</f>
        <v>1960.8</v>
      </c>
      <c r="M66" s="9">
        <f>_xlfn.XLOOKUP(All_Staff[[#This Row],[Rating]],'Salary vs Rating.'!$B$3:$B$7,'Salary vs Rating.'!$C$3:$C$7)</f>
        <v>3</v>
      </c>
      <c r="N66" s="9"/>
      <c r="O66" s="9"/>
    </row>
    <row r="67" spans="1:15" x14ac:dyDescent="0.25">
      <c r="A67" s="7" t="s">
        <v>186</v>
      </c>
      <c r="B67" s="7" t="s">
        <v>8</v>
      </c>
      <c r="C67" s="7" t="s">
        <v>21</v>
      </c>
      <c r="D67" s="7">
        <v>33</v>
      </c>
      <c r="E67" s="8">
        <v>44006</v>
      </c>
      <c r="F67" s="7">
        <v>65360</v>
      </c>
      <c r="G67" s="7" t="s">
        <v>16</v>
      </c>
      <c r="H67" s="7" t="s">
        <v>207</v>
      </c>
      <c r="I67" s="8">
        <f ca="1">TODAY()</f>
        <v>45585</v>
      </c>
      <c r="J67" s="7">
        <f ca="1">All_Staff[[#This Row],[current date]]-All_Staff[[#This Row],[Date Joined]]</f>
        <v>1579</v>
      </c>
      <c r="K67" s="9">
        <f ca="1">All_Staff[[#This Row],[tunure]]/365</f>
        <v>4.3260273972602743</v>
      </c>
      <c r="L67" s="19">
        <f ca="1">IF(All_Staff[[#This Row],[tunure in year]]&gt;3,3%,2%)*All_Staff[[#This Row],[Salary]]</f>
        <v>1960.8</v>
      </c>
      <c r="M67" s="9">
        <f>_xlfn.XLOOKUP(All_Staff[[#This Row],[Rating]],'Salary vs Rating.'!$B$3:$B$7,'Salary vs Rating.'!$C$3:$C$7)</f>
        <v>3</v>
      </c>
      <c r="N67" s="9"/>
      <c r="O67" s="9"/>
    </row>
    <row r="68" spans="1:15" x14ac:dyDescent="0.25">
      <c r="A68" s="7" t="s">
        <v>76</v>
      </c>
      <c r="B68" s="7" t="s">
        <v>15</v>
      </c>
      <c r="C68" s="7" t="s">
        <v>19</v>
      </c>
      <c r="D68" s="7">
        <v>25</v>
      </c>
      <c r="E68" s="8">
        <v>44383</v>
      </c>
      <c r="F68" s="7">
        <v>65700</v>
      </c>
      <c r="G68" s="7" t="s">
        <v>16</v>
      </c>
      <c r="H68" s="7" t="s">
        <v>205</v>
      </c>
      <c r="I68" s="8">
        <f ca="1">TODAY()</f>
        <v>45585</v>
      </c>
      <c r="J68" s="7">
        <f ca="1">All_Staff[[#This Row],[current date]]-All_Staff[[#This Row],[Date Joined]]</f>
        <v>1202</v>
      </c>
      <c r="K68" s="9">
        <f ca="1">All_Staff[[#This Row],[tunure]]/365</f>
        <v>3.2931506849315069</v>
      </c>
      <c r="L68" s="19">
        <f ca="1">IF(All_Staff[[#This Row],[tunure in year]]&gt;3,3%,2%)*All_Staff[[#This Row],[Salary]]</f>
        <v>1971</v>
      </c>
      <c r="M68" s="9">
        <f>_xlfn.XLOOKUP(All_Staff[[#This Row],[Rating]],'Salary vs Rating.'!$B$3:$B$7,'Salary vs Rating.'!$C$3:$C$7)</f>
        <v>3</v>
      </c>
      <c r="N68" s="9"/>
      <c r="O68" s="9"/>
    </row>
    <row r="69" spans="1:15" x14ac:dyDescent="0.25">
      <c r="A69" s="7" t="s">
        <v>168</v>
      </c>
      <c r="B69" s="7" t="s">
        <v>15</v>
      </c>
      <c r="C69" s="7" t="s">
        <v>19</v>
      </c>
      <c r="D69" s="7">
        <v>25</v>
      </c>
      <c r="E69" s="8">
        <v>44322</v>
      </c>
      <c r="F69" s="7">
        <v>65700</v>
      </c>
      <c r="G69" s="7" t="s">
        <v>16</v>
      </c>
      <c r="H69" s="7" t="s">
        <v>207</v>
      </c>
      <c r="I69" s="8">
        <f ca="1">TODAY()</f>
        <v>45585</v>
      </c>
      <c r="J69" s="7">
        <f ca="1">All_Staff[[#This Row],[current date]]-All_Staff[[#This Row],[Date Joined]]</f>
        <v>1263</v>
      </c>
      <c r="K69" s="9">
        <f ca="1">All_Staff[[#This Row],[tunure]]/365</f>
        <v>3.4602739726027396</v>
      </c>
      <c r="L69" s="19">
        <f ca="1">IF(All_Staff[[#This Row],[tunure in year]]&gt;3,3%,2%)*All_Staff[[#This Row],[Salary]]</f>
        <v>1971</v>
      </c>
      <c r="M69" s="9">
        <f>_xlfn.XLOOKUP(All_Staff[[#This Row],[Rating]],'Salary vs Rating.'!$B$3:$B$7,'Salary vs Rating.'!$C$3:$C$7)</f>
        <v>3</v>
      </c>
      <c r="N69" s="9"/>
      <c r="O69" s="9"/>
    </row>
    <row r="70" spans="1:15" x14ac:dyDescent="0.25">
      <c r="A70" s="7" t="s">
        <v>32</v>
      </c>
      <c r="B70" s="7" t="s">
        <v>8</v>
      </c>
      <c r="C70" s="7" t="s">
        <v>21</v>
      </c>
      <c r="D70" s="7">
        <v>21</v>
      </c>
      <c r="E70" s="8">
        <v>44317</v>
      </c>
      <c r="F70" s="7">
        <v>65920</v>
      </c>
      <c r="G70" s="7" t="s">
        <v>16</v>
      </c>
      <c r="H70" s="7" t="s">
        <v>205</v>
      </c>
      <c r="I70" s="8">
        <f ca="1">TODAY()</f>
        <v>45585</v>
      </c>
      <c r="J70" s="7">
        <f ca="1">All_Staff[[#This Row],[current date]]-All_Staff[[#This Row],[Date Joined]]</f>
        <v>1268</v>
      </c>
      <c r="K70" s="9">
        <f ca="1">All_Staff[[#This Row],[tunure]]/365</f>
        <v>3.473972602739726</v>
      </c>
      <c r="L70" s="19">
        <f ca="1">IF(All_Staff[[#This Row],[tunure in year]]&gt;3,3%,2%)*All_Staff[[#This Row],[Salary]]</f>
        <v>1977.6</v>
      </c>
      <c r="M70" s="9">
        <f>_xlfn.XLOOKUP(All_Staff[[#This Row],[Rating]],'Salary vs Rating.'!$B$3:$B$7,'Salary vs Rating.'!$C$3:$C$7)</f>
        <v>3</v>
      </c>
      <c r="N70" s="9"/>
      <c r="O70" s="9"/>
    </row>
    <row r="71" spans="1:15" x14ac:dyDescent="0.25">
      <c r="A71" s="7" t="s">
        <v>126</v>
      </c>
      <c r="B71" s="7" t="s">
        <v>8</v>
      </c>
      <c r="C71" s="7" t="s">
        <v>21</v>
      </c>
      <c r="D71" s="7">
        <v>21</v>
      </c>
      <c r="E71" s="8">
        <v>44256</v>
      </c>
      <c r="F71" s="7">
        <v>65920</v>
      </c>
      <c r="G71" s="7" t="s">
        <v>16</v>
      </c>
      <c r="H71" s="7" t="s">
        <v>207</v>
      </c>
      <c r="I71" s="8">
        <f ca="1">TODAY()</f>
        <v>45585</v>
      </c>
      <c r="J71" s="7">
        <f ca="1">All_Staff[[#This Row],[current date]]-All_Staff[[#This Row],[Date Joined]]</f>
        <v>1329</v>
      </c>
      <c r="K71" s="9">
        <f ca="1">All_Staff[[#This Row],[tunure]]/365</f>
        <v>3.6410958904109587</v>
      </c>
      <c r="L71" s="19">
        <f ca="1">IF(All_Staff[[#This Row],[tunure in year]]&gt;3,3%,2%)*All_Staff[[#This Row],[Salary]]</f>
        <v>1977.6</v>
      </c>
      <c r="M71" s="9">
        <f>_xlfn.XLOOKUP(All_Staff[[#This Row],[Rating]],'Salary vs Rating.'!$B$3:$B$7,'Salary vs Rating.'!$C$3:$C$7)</f>
        <v>3</v>
      </c>
      <c r="N71" s="9"/>
      <c r="O71" s="9"/>
    </row>
    <row r="72" spans="1:15" x14ac:dyDescent="0.25">
      <c r="A72" s="7" t="s">
        <v>27</v>
      </c>
      <c r="B72" s="7" t="s">
        <v>8</v>
      </c>
      <c r="C72" s="7" t="s">
        <v>21</v>
      </c>
      <c r="D72" s="7">
        <v>30</v>
      </c>
      <c r="E72" s="8">
        <v>44389</v>
      </c>
      <c r="F72" s="7">
        <v>67910</v>
      </c>
      <c r="G72" s="7" t="s">
        <v>24</v>
      </c>
      <c r="H72" s="7" t="s">
        <v>205</v>
      </c>
      <c r="I72" s="8">
        <f ca="1">TODAY()</f>
        <v>45585</v>
      </c>
      <c r="J72" s="7">
        <f ca="1">All_Staff[[#This Row],[current date]]-All_Staff[[#This Row],[Date Joined]]</f>
        <v>1196</v>
      </c>
      <c r="K72" s="9">
        <f ca="1">All_Staff[[#This Row],[tunure]]/365</f>
        <v>3.2767123287671232</v>
      </c>
      <c r="L72" s="19">
        <f ca="1">IF(All_Staff[[#This Row],[tunure in year]]&gt;3,3%,2%)*All_Staff[[#This Row],[Salary]]</f>
        <v>2037.3</v>
      </c>
      <c r="M72" s="9">
        <f>_xlfn.XLOOKUP(All_Staff[[#This Row],[Rating]],'Salary vs Rating.'!$B$3:$B$7,'Salary vs Rating.'!$C$3:$C$7)</f>
        <v>2</v>
      </c>
      <c r="N72" s="9"/>
      <c r="O72" s="9"/>
    </row>
    <row r="73" spans="1:15" x14ac:dyDescent="0.25">
      <c r="A73" s="7" t="s">
        <v>121</v>
      </c>
      <c r="B73" s="7" t="s">
        <v>8</v>
      </c>
      <c r="C73" s="7" t="s">
        <v>21</v>
      </c>
      <c r="D73" s="7">
        <v>30</v>
      </c>
      <c r="E73" s="8">
        <v>44328</v>
      </c>
      <c r="F73" s="7">
        <v>67910</v>
      </c>
      <c r="G73" s="7" t="s">
        <v>24</v>
      </c>
      <c r="H73" s="7" t="s">
        <v>207</v>
      </c>
      <c r="I73" s="8">
        <f ca="1">TODAY()</f>
        <v>45585</v>
      </c>
      <c r="J73" s="7">
        <f ca="1">All_Staff[[#This Row],[current date]]-All_Staff[[#This Row],[Date Joined]]</f>
        <v>1257</v>
      </c>
      <c r="K73" s="9">
        <f ca="1">All_Staff[[#This Row],[tunure]]/365</f>
        <v>3.4438356164383563</v>
      </c>
      <c r="L73" s="19">
        <f ca="1">IF(All_Staff[[#This Row],[tunure in year]]&gt;3,3%,2%)*All_Staff[[#This Row],[Salary]]</f>
        <v>2037.3</v>
      </c>
      <c r="M73" s="9">
        <f>_xlfn.XLOOKUP(All_Staff[[#This Row],[Rating]],'Salary vs Rating.'!$B$3:$B$7,'Salary vs Rating.'!$C$3:$C$7)</f>
        <v>2</v>
      </c>
      <c r="N73" s="9"/>
      <c r="O73" s="9"/>
    </row>
    <row r="74" spans="1:15" x14ac:dyDescent="0.25">
      <c r="A74" s="7" t="s">
        <v>45</v>
      </c>
      <c r="B74" s="7" t="s">
        <v>15</v>
      </c>
      <c r="C74" s="7" t="s">
        <v>9</v>
      </c>
      <c r="D74" s="7">
        <v>30</v>
      </c>
      <c r="E74" s="8">
        <v>44701</v>
      </c>
      <c r="F74" s="7">
        <v>67950</v>
      </c>
      <c r="G74" s="7" t="s">
        <v>16</v>
      </c>
      <c r="H74" s="7" t="s">
        <v>205</v>
      </c>
      <c r="I74" s="8">
        <f ca="1">TODAY()</f>
        <v>45585</v>
      </c>
      <c r="J74" s="7">
        <f ca="1">All_Staff[[#This Row],[current date]]-All_Staff[[#This Row],[Date Joined]]</f>
        <v>884</v>
      </c>
      <c r="K74" s="9">
        <f ca="1">All_Staff[[#This Row],[tunure]]/365</f>
        <v>2.4219178082191779</v>
      </c>
      <c r="L74" s="19">
        <f ca="1">IF(All_Staff[[#This Row],[tunure in year]]&gt;3,3%,2%)*All_Staff[[#This Row],[Salary]]</f>
        <v>1359</v>
      </c>
      <c r="M74" s="9">
        <f>_xlfn.XLOOKUP(All_Staff[[#This Row],[Rating]],'Salary vs Rating.'!$B$3:$B$7,'Salary vs Rating.'!$C$3:$C$7)</f>
        <v>3</v>
      </c>
      <c r="N74" s="9"/>
      <c r="O74" s="9"/>
    </row>
    <row r="75" spans="1:15" x14ac:dyDescent="0.25">
      <c r="A75" s="7" t="s">
        <v>138</v>
      </c>
      <c r="B75" s="7" t="s">
        <v>15</v>
      </c>
      <c r="C75" s="7" t="s">
        <v>9</v>
      </c>
      <c r="D75" s="7">
        <v>30</v>
      </c>
      <c r="E75" s="8">
        <v>44640</v>
      </c>
      <c r="F75" s="7">
        <v>67950</v>
      </c>
      <c r="G75" s="7" t="s">
        <v>16</v>
      </c>
      <c r="H75" s="7" t="s">
        <v>207</v>
      </c>
      <c r="I75" s="8">
        <f ca="1">TODAY()</f>
        <v>45585</v>
      </c>
      <c r="J75" s="7">
        <f ca="1">All_Staff[[#This Row],[current date]]-All_Staff[[#This Row],[Date Joined]]</f>
        <v>945</v>
      </c>
      <c r="K75" s="9">
        <f ca="1">All_Staff[[#This Row],[tunure]]/365</f>
        <v>2.5890410958904111</v>
      </c>
      <c r="L75" s="19">
        <f ca="1">IF(All_Staff[[#This Row],[tunure in year]]&gt;3,3%,2%)*All_Staff[[#This Row],[Salary]]</f>
        <v>1359</v>
      </c>
      <c r="M75" s="9">
        <f>_xlfn.XLOOKUP(All_Staff[[#This Row],[Rating]],'Salary vs Rating.'!$B$3:$B$7,'Salary vs Rating.'!$C$3:$C$7)</f>
        <v>3</v>
      </c>
      <c r="N75" s="9"/>
      <c r="O75" s="9"/>
    </row>
    <row r="76" spans="1:15" x14ac:dyDescent="0.25">
      <c r="A76" s="7" t="s">
        <v>91</v>
      </c>
      <c r="B76" s="7" t="s">
        <v>8</v>
      </c>
      <c r="C76" s="7" t="s">
        <v>19</v>
      </c>
      <c r="D76" s="7">
        <v>20</v>
      </c>
      <c r="E76" s="8">
        <v>44537</v>
      </c>
      <c r="F76" s="7">
        <v>68900</v>
      </c>
      <c r="G76" s="7" t="s">
        <v>24</v>
      </c>
      <c r="H76" s="7" t="s">
        <v>205</v>
      </c>
      <c r="I76" s="8">
        <f ca="1">TODAY()</f>
        <v>45585</v>
      </c>
      <c r="J76" s="7">
        <f ca="1">All_Staff[[#This Row],[current date]]-All_Staff[[#This Row],[Date Joined]]</f>
        <v>1048</v>
      </c>
      <c r="K76" s="9">
        <f ca="1">All_Staff[[#This Row],[tunure]]/365</f>
        <v>2.871232876712329</v>
      </c>
      <c r="L76" s="19">
        <f ca="1">IF(All_Staff[[#This Row],[tunure in year]]&gt;3,3%,2%)*All_Staff[[#This Row],[Salary]]</f>
        <v>1378</v>
      </c>
      <c r="M76" s="9">
        <f>_xlfn.XLOOKUP(All_Staff[[#This Row],[Rating]],'Salary vs Rating.'!$B$3:$B$7,'Salary vs Rating.'!$C$3:$C$7)</f>
        <v>2</v>
      </c>
      <c r="N76" s="9"/>
      <c r="O76" s="9"/>
    </row>
    <row r="77" spans="1:15" x14ac:dyDescent="0.25">
      <c r="A77" s="7" t="s">
        <v>184</v>
      </c>
      <c r="B77" s="7" t="s">
        <v>8</v>
      </c>
      <c r="C77" s="7" t="s">
        <v>19</v>
      </c>
      <c r="D77" s="7">
        <v>20</v>
      </c>
      <c r="E77" s="8">
        <v>44476</v>
      </c>
      <c r="F77" s="7">
        <v>68900</v>
      </c>
      <c r="G77" s="7" t="s">
        <v>24</v>
      </c>
      <c r="H77" s="7" t="s">
        <v>207</v>
      </c>
      <c r="I77" s="8">
        <f ca="1">TODAY()</f>
        <v>45585</v>
      </c>
      <c r="J77" s="7">
        <f ca="1">All_Staff[[#This Row],[current date]]-All_Staff[[#This Row],[Date Joined]]</f>
        <v>1109</v>
      </c>
      <c r="K77" s="9">
        <f ca="1">All_Staff[[#This Row],[tunure]]/365</f>
        <v>3.0383561643835617</v>
      </c>
      <c r="L77" s="19">
        <f ca="1">IF(All_Staff[[#This Row],[tunure in year]]&gt;3,3%,2%)*All_Staff[[#This Row],[Salary]]</f>
        <v>2067</v>
      </c>
      <c r="M77" s="9">
        <f>_xlfn.XLOOKUP(All_Staff[[#This Row],[Rating]],'Salary vs Rating.'!$B$3:$B$7,'Salary vs Rating.'!$C$3:$C$7)</f>
        <v>2</v>
      </c>
      <c r="N77" s="9"/>
      <c r="O77" s="9"/>
    </row>
    <row r="78" spans="1:15" x14ac:dyDescent="0.25">
      <c r="A78" s="7" t="s">
        <v>97</v>
      </c>
      <c r="B78" s="7" t="s">
        <v>15</v>
      </c>
      <c r="C78" s="7" t="s">
        <v>12</v>
      </c>
      <c r="D78" s="7">
        <v>37</v>
      </c>
      <c r="E78" s="8">
        <v>44701</v>
      </c>
      <c r="F78" s="7">
        <v>69070</v>
      </c>
      <c r="G78" s="7" t="s">
        <v>16</v>
      </c>
      <c r="H78" s="7" t="s">
        <v>205</v>
      </c>
      <c r="I78" s="8">
        <f ca="1">TODAY()</f>
        <v>45585</v>
      </c>
      <c r="J78" s="7">
        <f ca="1">All_Staff[[#This Row],[current date]]-All_Staff[[#This Row],[Date Joined]]</f>
        <v>884</v>
      </c>
      <c r="K78" s="9">
        <f ca="1">All_Staff[[#This Row],[tunure]]/365</f>
        <v>2.4219178082191779</v>
      </c>
      <c r="L78" s="19">
        <f ca="1">IF(All_Staff[[#This Row],[tunure in year]]&gt;3,3%,2%)*All_Staff[[#This Row],[Salary]]</f>
        <v>1381.4</v>
      </c>
      <c r="M78" s="9">
        <f>_xlfn.XLOOKUP(All_Staff[[#This Row],[Rating]],'Salary vs Rating.'!$B$3:$B$7,'Salary vs Rating.'!$C$3:$C$7)</f>
        <v>3</v>
      </c>
      <c r="N78" s="9"/>
      <c r="O78" s="9"/>
    </row>
    <row r="79" spans="1:15" x14ac:dyDescent="0.25">
      <c r="A79" s="7" t="s">
        <v>190</v>
      </c>
      <c r="B79" s="7" t="s">
        <v>15</v>
      </c>
      <c r="C79" s="7" t="s">
        <v>12</v>
      </c>
      <c r="D79" s="7">
        <v>37</v>
      </c>
      <c r="E79" s="8">
        <v>44640</v>
      </c>
      <c r="F79" s="7">
        <v>69070</v>
      </c>
      <c r="G79" s="7" t="s">
        <v>16</v>
      </c>
      <c r="H79" s="7" t="s">
        <v>207</v>
      </c>
      <c r="I79" s="8">
        <f ca="1">TODAY()</f>
        <v>45585</v>
      </c>
      <c r="J79" s="7">
        <f ca="1">All_Staff[[#This Row],[current date]]-All_Staff[[#This Row],[Date Joined]]</f>
        <v>945</v>
      </c>
      <c r="K79" s="9">
        <f ca="1">All_Staff[[#This Row],[tunure]]/365</f>
        <v>2.5890410958904111</v>
      </c>
      <c r="L79" s="19">
        <f ca="1">IF(All_Staff[[#This Row],[tunure in year]]&gt;3,3%,2%)*All_Staff[[#This Row],[Salary]]</f>
        <v>1381.4</v>
      </c>
      <c r="M79" s="9">
        <f>_xlfn.XLOOKUP(All_Staff[[#This Row],[Rating]],'Salary vs Rating.'!$B$3:$B$7,'Salary vs Rating.'!$C$3:$C$7)</f>
        <v>3</v>
      </c>
      <c r="N79" s="9"/>
      <c r="O79" s="9"/>
    </row>
    <row r="80" spans="1:15" x14ac:dyDescent="0.25">
      <c r="A80" s="7" t="s">
        <v>25</v>
      </c>
      <c r="B80" s="7" t="s">
        <v>15</v>
      </c>
      <c r="C80" s="7" t="s">
        <v>12</v>
      </c>
      <c r="D80" s="7">
        <v>30</v>
      </c>
      <c r="E80" s="8">
        <v>44273</v>
      </c>
      <c r="F80" s="7">
        <v>69120</v>
      </c>
      <c r="G80" s="7" t="s">
        <v>16</v>
      </c>
      <c r="H80" s="7" t="s">
        <v>205</v>
      </c>
      <c r="I80" s="8">
        <f ca="1">TODAY()</f>
        <v>45585</v>
      </c>
      <c r="J80" s="7">
        <f ca="1">All_Staff[[#This Row],[current date]]-All_Staff[[#This Row],[Date Joined]]</f>
        <v>1312</v>
      </c>
      <c r="K80" s="9">
        <f ca="1">All_Staff[[#This Row],[tunure]]/365</f>
        <v>3.5945205479452054</v>
      </c>
      <c r="L80" s="19">
        <f ca="1">IF(All_Staff[[#This Row],[tunure in year]]&gt;3,3%,2%)*All_Staff[[#This Row],[Salary]]</f>
        <v>2073.6</v>
      </c>
      <c r="M80" s="9">
        <f>_xlfn.XLOOKUP(All_Staff[[#This Row],[Rating]],'Salary vs Rating.'!$B$3:$B$7,'Salary vs Rating.'!$C$3:$C$7)</f>
        <v>3</v>
      </c>
      <c r="N80" s="9"/>
      <c r="O80" s="9"/>
    </row>
    <row r="81" spans="1:15" x14ac:dyDescent="0.25">
      <c r="A81" s="7" t="s">
        <v>119</v>
      </c>
      <c r="B81" s="7" t="s">
        <v>15</v>
      </c>
      <c r="C81" s="7" t="s">
        <v>12</v>
      </c>
      <c r="D81" s="7">
        <v>30</v>
      </c>
      <c r="E81" s="8">
        <v>44214</v>
      </c>
      <c r="F81" s="7">
        <v>69120</v>
      </c>
      <c r="G81" s="7" t="s">
        <v>16</v>
      </c>
      <c r="H81" s="7" t="s">
        <v>207</v>
      </c>
      <c r="I81" s="8">
        <f ca="1">TODAY()</f>
        <v>45585</v>
      </c>
      <c r="J81" s="7">
        <f ca="1">All_Staff[[#This Row],[current date]]-All_Staff[[#This Row],[Date Joined]]</f>
        <v>1371</v>
      </c>
      <c r="K81" s="9">
        <f ca="1">All_Staff[[#This Row],[tunure]]/365</f>
        <v>3.7561643835616438</v>
      </c>
      <c r="L81" s="19">
        <f ca="1">IF(All_Staff[[#This Row],[tunure in year]]&gt;3,3%,2%)*All_Staff[[#This Row],[Salary]]</f>
        <v>2073.6</v>
      </c>
      <c r="M81" s="9">
        <f>_xlfn.XLOOKUP(All_Staff[[#This Row],[Rating]],'Salary vs Rating.'!$B$3:$B$7,'Salary vs Rating.'!$C$3:$C$7)</f>
        <v>3</v>
      </c>
      <c r="N81" s="9"/>
      <c r="O81" s="9"/>
    </row>
    <row r="82" spans="1:15" x14ac:dyDescent="0.25">
      <c r="A82" s="7" t="s">
        <v>67</v>
      </c>
      <c r="B82" s="7" t="s">
        <v>15</v>
      </c>
      <c r="C82" s="7" t="s">
        <v>12</v>
      </c>
      <c r="D82" s="7">
        <v>30</v>
      </c>
      <c r="E82" s="8">
        <v>44850</v>
      </c>
      <c r="F82" s="7">
        <v>69710</v>
      </c>
      <c r="G82" s="7" t="s">
        <v>16</v>
      </c>
      <c r="H82" s="7" t="s">
        <v>205</v>
      </c>
      <c r="I82" s="8">
        <f ca="1">TODAY()</f>
        <v>45585</v>
      </c>
      <c r="J82" s="7">
        <f ca="1">All_Staff[[#This Row],[current date]]-All_Staff[[#This Row],[Date Joined]]</f>
        <v>735</v>
      </c>
      <c r="K82" s="9">
        <f ca="1">All_Staff[[#This Row],[tunure]]/365</f>
        <v>2.0136986301369864</v>
      </c>
      <c r="L82" s="19">
        <f ca="1">IF(All_Staff[[#This Row],[tunure in year]]&gt;3,3%,2%)*All_Staff[[#This Row],[Salary]]</f>
        <v>1394.2</v>
      </c>
      <c r="M82" s="9">
        <f>_xlfn.XLOOKUP(All_Staff[[#This Row],[Rating]],'Salary vs Rating.'!$B$3:$B$7,'Salary vs Rating.'!$C$3:$C$7)</f>
        <v>3</v>
      </c>
      <c r="N82" s="9"/>
      <c r="O82" s="9"/>
    </row>
    <row r="83" spans="1:15" x14ac:dyDescent="0.25">
      <c r="A83" s="7" t="s">
        <v>159</v>
      </c>
      <c r="B83" s="7" t="s">
        <v>15</v>
      </c>
      <c r="C83" s="7" t="s">
        <v>12</v>
      </c>
      <c r="D83" s="7">
        <v>30</v>
      </c>
      <c r="E83" s="8">
        <v>44789</v>
      </c>
      <c r="F83" s="7">
        <v>69710</v>
      </c>
      <c r="G83" s="7" t="s">
        <v>16</v>
      </c>
      <c r="H83" s="7" t="s">
        <v>207</v>
      </c>
      <c r="I83" s="8">
        <f ca="1">TODAY()</f>
        <v>45585</v>
      </c>
      <c r="J83" s="7">
        <f ca="1">All_Staff[[#This Row],[current date]]-All_Staff[[#This Row],[Date Joined]]</f>
        <v>796</v>
      </c>
      <c r="K83" s="9">
        <f ca="1">All_Staff[[#This Row],[tunure]]/365</f>
        <v>2.1808219178082191</v>
      </c>
      <c r="L83" s="19">
        <f ca="1">IF(All_Staff[[#This Row],[tunure in year]]&gt;3,3%,2%)*All_Staff[[#This Row],[Salary]]</f>
        <v>1394.2</v>
      </c>
      <c r="M83" s="9">
        <f>_xlfn.XLOOKUP(All_Staff[[#This Row],[Rating]],'Salary vs Rating.'!$B$3:$B$7,'Salary vs Rating.'!$C$3:$C$7)</f>
        <v>3</v>
      </c>
      <c r="N83" s="9"/>
      <c r="O83" s="9"/>
    </row>
    <row r="84" spans="1:15" x14ac:dyDescent="0.25">
      <c r="A84" s="7" t="s">
        <v>90</v>
      </c>
      <c r="B84" s="7" t="s">
        <v>15</v>
      </c>
      <c r="C84" s="7" t="s">
        <v>21</v>
      </c>
      <c r="D84" s="7">
        <v>42</v>
      </c>
      <c r="E84" s="8">
        <v>44731</v>
      </c>
      <c r="F84" s="7">
        <v>70270</v>
      </c>
      <c r="G84" s="7" t="s">
        <v>24</v>
      </c>
      <c r="H84" s="7" t="s">
        <v>205</v>
      </c>
      <c r="I84" s="8">
        <f ca="1">TODAY()</f>
        <v>45585</v>
      </c>
      <c r="J84" s="7">
        <f ca="1">All_Staff[[#This Row],[current date]]-All_Staff[[#This Row],[Date Joined]]</f>
        <v>854</v>
      </c>
      <c r="K84" s="9">
        <f ca="1">All_Staff[[#This Row],[tunure]]/365</f>
        <v>2.3397260273972602</v>
      </c>
      <c r="L84" s="19">
        <f ca="1">IF(All_Staff[[#This Row],[tunure in year]]&gt;3,3%,2%)*All_Staff[[#This Row],[Salary]]</f>
        <v>1405.4</v>
      </c>
      <c r="M84" s="9">
        <f>_xlfn.XLOOKUP(All_Staff[[#This Row],[Rating]],'Salary vs Rating.'!$B$3:$B$7,'Salary vs Rating.'!$C$3:$C$7)</f>
        <v>2</v>
      </c>
      <c r="N84" s="9"/>
      <c r="O84" s="9"/>
    </row>
    <row r="85" spans="1:15" x14ac:dyDescent="0.25">
      <c r="A85" s="7" t="s">
        <v>183</v>
      </c>
      <c r="B85" s="7" t="s">
        <v>15</v>
      </c>
      <c r="C85" s="7" t="s">
        <v>21</v>
      </c>
      <c r="D85" s="7">
        <v>42</v>
      </c>
      <c r="E85" s="8">
        <v>44670</v>
      </c>
      <c r="F85" s="7">
        <v>70270</v>
      </c>
      <c r="G85" s="7" t="s">
        <v>24</v>
      </c>
      <c r="H85" s="7" t="s">
        <v>207</v>
      </c>
      <c r="I85" s="8">
        <f ca="1">TODAY()</f>
        <v>45585</v>
      </c>
      <c r="J85" s="7">
        <f ca="1">All_Staff[[#This Row],[current date]]-All_Staff[[#This Row],[Date Joined]]</f>
        <v>915</v>
      </c>
      <c r="K85" s="9">
        <f ca="1">All_Staff[[#This Row],[tunure]]/365</f>
        <v>2.506849315068493</v>
      </c>
      <c r="L85" s="19">
        <f ca="1">IF(All_Staff[[#This Row],[tunure in year]]&gt;3,3%,2%)*All_Staff[[#This Row],[Salary]]</f>
        <v>1405.4</v>
      </c>
      <c r="M85" s="9">
        <f>_xlfn.XLOOKUP(All_Staff[[#This Row],[Rating]],'Salary vs Rating.'!$B$3:$B$7,'Salary vs Rating.'!$C$3:$C$7)</f>
        <v>2</v>
      </c>
      <c r="N85" s="9"/>
      <c r="O85" s="9"/>
    </row>
    <row r="86" spans="1:15" x14ac:dyDescent="0.25">
      <c r="A86" s="7" t="s">
        <v>70</v>
      </c>
      <c r="B86" s="7" t="s">
        <v>15</v>
      </c>
      <c r="C86" s="7" t="s">
        <v>9</v>
      </c>
      <c r="D86" s="7">
        <v>46</v>
      </c>
      <c r="E86" s="8">
        <v>44758</v>
      </c>
      <c r="F86" s="7">
        <v>70610</v>
      </c>
      <c r="G86" s="7" t="s">
        <v>16</v>
      </c>
      <c r="H86" s="7" t="s">
        <v>205</v>
      </c>
      <c r="I86" s="8">
        <f ca="1">TODAY()</f>
        <v>45585</v>
      </c>
      <c r="J86" s="7">
        <f ca="1">All_Staff[[#This Row],[current date]]-All_Staff[[#This Row],[Date Joined]]</f>
        <v>827</v>
      </c>
      <c r="K86" s="9">
        <f ca="1">All_Staff[[#This Row],[tunure]]/365</f>
        <v>2.2657534246575342</v>
      </c>
      <c r="L86" s="19">
        <f ca="1">IF(All_Staff[[#This Row],[tunure in year]]&gt;3,3%,2%)*All_Staff[[#This Row],[Salary]]</f>
        <v>1412.2</v>
      </c>
      <c r="M86" s="9">
        <f>_xlfn.XLOOKUP(All_Staff[[#This Row],[Rating]],'Salary vs Rating.'!$B$3:$B$7,'Salary vs Rating.'!$C$3:$C$7)</f>
        <v>3</v>
      </c>
      <c r="N86" s="9"/>
      <c r="O86" s="9"/>
    </row>
    <row r="87" spans="1:15" x14ac:dyDescent="0.25">
      <c r="A87" s="7" t="s">
        <v>162</v>
      </c>
      <c r="B87" s="7" t="s">
        <v>15</v>
      </c>
      <c r="C87" s="7" t="s">
        <v>9</v>
      </c>
      <c r="D87" s="7">
        <v>46</v>
      </c>
      <c r="E87" s="8">
        <v>44697</v>
      </c>
      <c r="F87" s="7">
        <v>70610</v>
      </c>
      <c r="G87" s="7" t="s">
        <v>16</v>
      </c>
      <c r="H87" s="7" t="s">
        <v>207</v>
      </c>
      <c r="I87" s="8">
        <f ca="1">TODAY()</f>
        <v>45585</v>
      </c>
      <c r="J87" s="7">
        <f ca="1">All_Staff[[#This Row],[current date]]-All_Staff[[#This Row],[Date Joined]]</f>
        <v>888</v>
      </c>
      <c r="K87" s="9">
        <f ca="1">All_Staff[[#This Row],[tunure]]/365</f>
        <v>2.4328767123287673</v>
      </c>
      <c r="L87" s="19">
        <f ca="1">IF(All_Staff[[#This Row],[tunure in year]]&gt;3,3%,2%)*All_Staff[[#This Row],[Salary]]</f>
        <v>1412.2</v>
      </c>
      <c r="M87" s="9">
        <f>_xlfn.XLOOKUP(All_Staff[[#This Row],[Rating]],'Salary vs Rating.'!$B$3:$B$7,'Salary vs Rating.'!$C$3:$C$7)</f>
        <v>3</v>
      </c>
      <c r="N87" s="9"/>
      <c r="O87" s="9"/>
    </row>
    <row r="88" spans="1:15" x14ac:dyDescent="0.25">
      <c r="A88" s="7" t="s">
        <v>94</v>
      </c>
      <c r="B88" s="7" t="s">
        <v>15</v>
      </c>
      <c r="C88" s="7" t="s">
        <v>21</v>
      </c>
      <c r="D88" s="7">
        <v>36</v>
      </c>
      <c r="E88" s="8">
        <v>44333</v>
      </c>
      <c r="F88" s="7">
        <v>71380</v>
      </c>
      <c r="G88" s="7" t="s">
        <v>16</v>
      </c>
      <c r="H88" s="7" t="s">
        <v>205</v>
      </c>
      <c r="I88" s="8">
        <f ca="1">TODAY()</f>
        <v>45585</v>
      </c>
      <c r="J88" s="7">
        <f ca="1">All_Staff[[#This Row],[current date]]-All_Staff[[#This Row],[Date Joined]]</f>
        <v>1252</v>
      </c>
      <c r="K88" s="9">
        <f ca="1">All_Staff[[#This Row],[tunure]]/365</f>
        <v>3.43013698630137</v>
      </c>
      <c r="L88" s="19">
        <f ca="1">IF(All_Staff[[#This Row],[tunure in year]]&gt;3,3%,2%)*All_Staff[[#This Row],[Salary]]</f>
        <v>2141.4</v>
      </c>
      <c r="M88" s="9">
        <f>_xlfn.XLOOKUP(All_Staff[[#This Row],[Rating]],'Salary vs Rating.'!$B$3:$B$7,'Salary vs Rating.'!$C$3:$C$7)</f>
        <v>3</v>
      </c>
      <c r="N88" s="9"/>
      <c r="O88" s="9"/>
    </row>
    <row r="89" spans="1:15" x14ac:dyDescent="0.25">
      <c r="A89" s="7" t="s">
        <v>187</v>
      </c>
      <c r="B89" s="7" t="s">
        <v>15</v>
      </c>
      <c r="C89" s="7" t="s">
        <v>21</v>
      </c>
      <c r="D89" s="7">
        <v>36</v>
      </c>
      <c r="E89" s="8">
        <v>44272</v>
      </c>
      <c r="F89" s="7">
        <v>71380</v>
      </c>
      <c r="G89" s="7" t="s">
        <v>16</v>
      </c>
      <c r="H89" s="7" t="s">
        <v>207</v>
      </c>
      <c r="I89" s="8">
        <f ca="1">TODAY()</f>
        <v>45585</v>
      </c>
      <c r="J89" s="7">
        <f ca="1">All_Staff[[#This Row],[current date]]-All_Staff[[#This Row],[Date Joined]]</f>
        <v>1313</v>
      </c>
      <c r="K89" s="9">
        <f ca="1">All_Staff[[#This Row],[tunure]]/365</f>
        <v>3.5972602739726027</v>
      </c>
      <c r="L89" s="19">
        <f ca="1">IF(All_Staff[[#This Row],[tunure in year]]&gt;3,3%,2%)*All_Staff[[#This Row],[Salary]]</f>
        <v>2141.4</v>
      </c>
      <c r="M89" s="9">
        <f>_xlfn.XLOOKUP(All_Staff[[#This Row],[Rating]],'Salary vs Rating.'!$B$3:$B$7,'Salary vs Rating.'!$C$3:$C$7)</f>
        <v>3</v>
      </c>
      <c r="N89" s="9"/>
      <c r="O89" s="9"/>
    </row>
    <row r="90" spans="1:15" x14ac:dyDescent="0.25">
      <c r="A90" s="7" t="s">
        <v>18</v>
      </c>
      <c r="B90" s="7" t="s">
        <v>15</v>
      </c>
      <c r="C90" s="7" t="s">
        <v>19</v>
      </c>
      <c r="D90" s="7">
        <v>33</v>
      </c>
      <c r="E90" s="8">
        <v>44385</v>
      </c>
      <c r="F90" s="7">
        <v>74550</v>
      </c>
      <c r="G90" s="7" t="s">
        <v>16</v>
      </c>
      <c r="H90" s="7" t="s">
        <v>205</v>
      </c>
      <c r="I90" s="8">
        <f ca="1">TODAY()</f>
        <v>45585</v>
      </c>
      <c r="J90" s="7">
        <f ca="1">All_Staff[[#This Row],[current date]]-All_Staff[[#This Row],[Date Joined]]</f>
        <v>1200</v>
      </c>
      <c r="K90" s="9">
        <f ca="1">All_Staff[[#This Row],[tunure]]/365</f>
        <v>3.2876712328767121</v>
      </c>
      <c r="L90" s="19">
        <f ca="1">IF(All_Staff[[#This Row],[tunure in year]]&gt;3,3%,2%)*All_Staff[[#This Row],[Salary]]</f>
        <v>2236.5</v>
      </c>
      <c r="M90" s="9">
        <f>_xlfn.XLOOKUP(All_Staff[[#This Row],[Rating]],'Salary vs Rating.'!$B$3:$B$7,'Salary vs Rating.'!$C$3:$C$7)</f>
        <v>3</v>
      </c>
      <c r="N90" s="9"/>
      <c r="O90" s="9"/>
    </row>
    <row r="91" spans="1:15" x14ac:dyDescent="0.25">
      <c r="A91" s="7" t="s">
        <v>115</v>
      </c>
      <c r="B91" s="7" t="s">
        <v>15</v>
      </c>
      <c r="C91" s="7" t="s">
        <v>19</v>
      </c>
      <c r="D91" s="7">
        <v>33</v>
      </c>
      <c r="E91" s="8">
        <v>44324</v>
      </c>
      <c r="F91" s="7">
        <v>74550</v>
      </c>
      <c r="G91" s="7" t="s">
        <v>16</v>
      </c>
      <c r="H91" s="7" t="s">
        <v>207</v>
      </c>
      <c r="I91" s="8">
        <f ca="1">TODAY()</f>
        <v>45585</v>
      </c>
      <c r="J91" s="7">
        <f ca="1">All_Staff[[#This Row],[current date]]-All_Staff[[#This Row],[Date Joined]]</f>
        <v>1261</v>
      </c>
      <c r="K91" s="9">
        <f ca="1">All_Staff[[#This Row],[tunure]]/365</f>
        <v>3.4547945205479453</v>
      </c>
      <c r="L91" s="19">
        <f ca="1">IF(All_Staff[[#This Row],[tunure in year]]&gt;3,3%,2%)*All_Staff[[#This Row],[Salary]]</f>
        <v>2236.5</v>
      </c>
      <c r="M91" s="9">
        <f>_xlfn.XLOOKUP(All_Staff[[#This Row],[Rating]],'Salary vs Rating.'!$B$3:$B$7,'Salary vs Rating.'!$C$3:$C$7)</f>
        <v>3</v>
      </c>
      <c r="N91" s="9"/>
      <c r="O91" s="9"/>
    </row>
    <row r="92" spans="1:15" x14ac:dyDescent="0.25">
      <c r="A92" s="7" t="s">
        <v>7</v>
      </c>
      <c r="B92" s="7" t="s">
        <v>8</v>
      </c>
      <c r="C92" s="7" t="s">
        <v>9</v>
      </c>
      <c r="D92" s="7">
        <v>42</v>
      </c>
      <c r="E92" s="8">
        <v>44779</v>
      </c>
      <c r="F92" s="7">
        <v>75000</v>
      </c>
      <c r="G92" s="7" t="s">
        <v>10</v>
      </c>
      <c r="H92" s="7" t="s">
        <v>205</v>
      </c>
      <c r="I92" s="8">
        <f ca="1">TODAY()</f>
        <v>45585</v>
      </c>
      <c r="J92" s="7">
        <f ca="1">All_Staff[[#This Row],[current date]]-All_Staff[[#This Row],[Date Joined]]</f>
        <v>806</v>
      </c>
      <c r="K92" s="9">
        <f ca="1">All_Staff[[#This Row],[tunure]]/365</f>
        <v>2.2082191780821918</v>
      </c>
      <c r="L92" s="19">
        <f ca="1">IF(All_Staff[[#This Row],[tunure in year]]&gt;3,3%,2%)*All_Staff[[#This Row],[Salary]]</f>
        <v>1500</v>
      </c>
      <c r="M92" s="9">
        <f>_xlfn.XLOOKUP(All_Staff[[#This Row],[Rating]],'Salary vs Rating.'!$B$3:$B$7,'Salary vs Rating.'!$C$3:$C$7)</f>
        <v>5</v>
      </c>
      <c r="N92" s="9"/>
      <c r="O92" s="9"/>
    </row>
    <row r="93" spans="1:15" x14ac:dyDescent="0.25">
      <c r="A93" s="7" t="s">
        <v>111</v>
      </c>
      <c r="B93" s="7" t="s">
        <v>8</v>
      </c>
      <c r="C93" s="7" t="s">
        <v>9</v>
      </c>
      <c r="D93" s="7">
        <v>42</v>
      </c>
      <c r="E93" s="8">
        <v>44718</v>
      </c>
      <c r="F93" s="7">
        <v>75000</v>
      </c>
      <c r="G93" s="7" t="s">
        <v>10</v>
      </c>
      <c r="H93" s="7" t="s">
        <v>207</v>
      </c>
      <c r="I93" s="8">
        <f ca="1">TODAY()</f>
        <v>45585</v>
      </c>
      <c r="J93" s="7">
        <f ca="1">All_Staff[[#This Row],[current date]]-All_Staff[[#This Row],[Date Joined]]</f>
        <v>867</v>
      </c>
      <c r="K93" s="9">
        <f ca="1">All_Staff[[#This Row],[tunure]]/365</f>
        <v>2.3753424657534246</v>
      </c>
      <c r="L93" s="19">
        <f ca="1">IF(All_Staff[[#This Row],[tunure in year]]&gt;3,3%,2%)*All_Staff[[#This Row],[Salary]]</f>
        <v>1500</v>
      </c>
      <c r="M93" s="9">
        <f>_xlfn.XLOOKUP(All_Staff[[#This Row],[Rating]],'Salary vs Rating.'!$B$3:$B$7,'Salary vs Rating.'!$C$3:$C$7)</f>
        <v>5</v>
      </c>
      <c r="N93" s="9"/>
      <c r="O93" s="9"/>
    </row>
    <row r="94" spans="1:15" x14ac:dyDescent="0.25">
      <c r="A94" s="7" t="s">
        <v>95</v>
      </c>
      <c r="B94" s="7" t="s">
        <v>8</v>
      </c>
      <c r="C94" s="7" t="s">
        <v>12</v>
      </c>
      <c r="D94" s="7">
        <v>33</v>
      </c>
      <c r="E94" s="8">
        <v>44312</v>
      </c>
      <c r="F94" s="7">
        <v>75280</v>
      </c>
      <c r="G94" s="7" t="s">
        <v>16</v>
      </c>
      <c r="H94" s="7" t="s">
        <v>205</v>
      </c>
      <c r="I94" s="8">
        <f ca="1">TODAY()</f>
        <v>45585</v>
      </c>
      <c r="J94" s="7">
        <f ca="1">All_Staff[[#This Row],[current date]]-All_Staff[[#This Row],[Date Joined]]</f>
        <v>1273</v>
      </c>
      <c r="K94" s="9">
        <f ca="1">All_Staff[[#This Row],[tunure]]/365</f>
        <v>3.4876712328767123</v>
      </c>
      <c r="L94" s="19">
        <f ca="1">IF(All_Staff[[#This Row],[tunure in year]]&gt;3,3%,2%)*All_Staff[[#This Row],[Salary]]</f>
        <v>2258.4</v>
      </c>
      <c r="M94" s="9">
        <f>_xlfn.XLOOKUP(All_Staff[[#This Row],[Rating]],'Salary vs Rating.'!$B$3:$B$7,'Salary vs Rating.'!$C$3:$C$7)</f>
        <v>3</v>
      </c>
      <c r="N94" s="9"/>
      <c r="O94" s="9"/>
    </row>
    <row r="95" spans="1:15" x14ac:dyDescent="0.25">
      <c r="A95" s="7" t="s">
        <v>188</v>
      </c>
      <c r="B95" s="7" t="s">
        <v>8</v>
      </c>
      <c r="C95" s="7" t="s">
        <v>12</v>
      </c>
      <c r="D95" s="7">
        <v>33</v>
      </c>
      <c r="E95" s="8">
        <v>44253</v>
      </c>
      <c r="F95" s="7">
        <v>75280</v>
      </c>
      <c r="G95" s="7" t="s">
        <v>16</v>
      </c>
      <c r="H95" s="7" t="s">
        <v>207</v>
      </c>
      <c r="I95" s="8">
        <f ca="1">TODAY()</f>
        <v>45585</v>
      </c>
      <c r="J95" s="7">
        <f ca="1">All_Staff[[#This Row],[current date]]-All_Staff[[#This Row],[Date Joined]]</f>
        <v>1332</v>
      </c>
      <c r="K95" s="9">
        <f ca="1">All_Staff[[#This Row],[tunure]]/365</f>
        <v>3.6493150684931508</v>
      </c>
      <c r="L95" s="19">
        <f ca="1">IF(All_Staff[[#This Row],[tunure in year]]&gt;3,3%,2%)*All_Staff[[#This Row],[Salary]]</f>
        <v>2258.4</v>
      </c>
      <c r="M95" s="9">
        <f>_xlfn.XLOOKUP(All_Staff[[#This Row],[Rating]],'Salary vs Rating.'!$B$3:$B$7,'Salary vs Rating.'!$C$3:$C$7)</f>
        <v>3</v>
      </c>
      <c r="N95" s="9"/>
      <c r="O95" s="9"/>
    </row>
    <row r="96" spans="1:15" x14ac:dyDescent="0.25">
      <c r="A96" s="7" t="s">
        <v>41</v>
      </c>
      <c r="B96" s="7" t="s">
        <v>8</v>
      </c>
      <c r="C96" s="7" t="s">
        <v>12</v>
      </c>
      <c r="D96" s="7">
        <v>33</v>
      </c>
      <c r="E96" s="8">
        <v>44374</v>
      </c>
      <c r="F96" s="7">
        <v>75480</v>
      </c>
      <c r="G96" s="7" t="s">
        <v>42</v>
      </c>
      <c r="H96" s="7" t="s">
        <v>205</v>
      </c>
      <c r="I96" s="8">
        <f ca="1">TODAY()</f>
        <v>45585</v>
      </c>
      <c r="J96" s="7">
        <f ca="1">All_Staff[[#This Row],[current date]]-All_Staff[[#This Row],[Date Joined]]</f>
        <v>1211</v>
      </c>
      <c r="K96" s="9">
        <f ca="1">All_Staff[[#This Row],[tunure]]/365</f>
        <v>3.3178082191780822</v>
      </c>
      <c r="L96" s="19">
        <f ca="1">IF(All_Staff[[#This Row],[tunure in year]]&gt;3,3%,2%)*All_Staff[[#This Row],[Salary]]</f>
        <v>2264.4</v>
      </c>
      <c r="M96" s="9">
        <f>_xlfn.XLOOKUP(All_Staff[[#This Row],[Rating]],'Salary vs Rating.'!$B$3:$B$7,'Salary vs Rating.'!$C$3:$C$7)</f>
        <v>1</v>
      </c>
      <c r="N96" s="9"/>
      <c r="O96" s="9"/>
    </row>
    <row r="97" spans="1:15" x14ac:dyDescent="0.25">
      <c r="A97" s="7" t="s">
        <v>135</v>
      </c>
      <c r="B97" s="7" t="s">
        <v>8</v>
      </c>
      <c r="C97" s="7" t="s">
        <v>12</v>
      </c>
      <c r="D97" s="7">
        <v>33</v>
      </c>
      <c r="E97" s="8">
        <v>44313</v>
      </c>
      <c r="F97" s="7">
        <v>75480</v>
      </c>
      <c r="G97" s="7" t="s">
        <v>42</v>
      </c>
      <c r="H97" s="7" t="s">
        <v>207</v>
      </c>
      <c r="I97" s="8">
        <f ca="1">TODAY()</f>
        <v>45585</v>
      </c>
      <c r="J97" s="7">
        <f ca="1">All_Staff[[#This Row],[current date]]-All_Staff[[#This Row],[Date Joined]]</f>
        <v>1272</v>
      </c>
      <c r="K97" s="9">
        <f ca="1">All_Staff[[#This Row],[tunure]]/365</f>
        <v>3.484931506849315</v>
      </c>
      <c r="L97" s="19">
        <f ca="1">IF(All_Staff[[#This Row],[tunure in year]]&gt;3,3%,2%)*All_Staff[[#This Row],[Salary]]</f>
        <v>2264.4</v>
      </c>
      <c r="M97" s="9">
        <f>_xlfn.XLOOKUP(All_Staff[[#This Row],[Rating]],'Salary vs Rating.'!$B$3:$B$7,'Salary vs Rating.'!$C$3:$C$7)</f>
        <v>1</v>
      </c>
      <c r="N97" s="9"/>
      <c r="O97" s="9"/>
    </row>
    <row r="98" spans="1:15" x14ac:dyDescent="0.25">
      <c r="A98" s="7" t="s">
        <v>78</v>
      </c>
      <c r="B98" s="7" t="s">
        <v>15</v>
      </c>
      <c r="C98" s="7" t="s">
        <v>56</v>
      </c>
      <c r="D98" s="7">
        <v>21</v>
      </c>
      <c r="E98" s="8">
        <v>44242</v>
      </c>
      <c r="F98" s="7">
        <v>75880</v>
      </c>
      <c r="G98" s="7" t="s">
        <v>16</v>
      </c>
      <c r="H98" s="7" t="s">
        <v>205</v>
      </c>
      <c r="I98" s="8">
        <f ca="1">TODAY()</f>
        <v>45585</v>
      </c>
      <c r="J98" s="7">
        <f ca="1">All_Staff[[#This Row],[current date]]-All_Staff[[#This Row],[Date Joined]]</f>
        <v>1343</v>
      </c>
      <c r="K98" s="9">
        <f ca="1">All_Staff[[#This Row],[tunure]]/365</f>
        <v>3.6794520547945204</v>
      </c>
      <c r="L98" s="19">
        <f ca="1">IF(All_Staff[[#This Row],[tunure in year]]&gt;3,3%,2%)*All_Staff[[#This Row],[Salary]]</f>
        <v>2276.4</v>
      </c>
      <c r="M98" s="9">
        <f>_xlfn.XLOOKUP(All_Staff[[#This Row],[Rating]],'Salary vs Rating.'!$B$3:$B$7,'Salary vs Rating.'!$C$3:$C$7)</f>
        <v>3</v>
      </c>
      <c r="N98" s="9"/>
      <c r="O98" s="9"/>
    </row>
    <row r="99" spans="1:15" x14ac:dyDescent="0.25">
      <c r="A99" s="7" t="s">
        <v>170</v>
      </c>
      <c r="B99" s="7" t="s">
        <v>15</v>
      </c>
      <c r="C99" s="7" t="s">
        <v>56</v>
      </c>
      <c r="D99" s="7">
        <v>21</v>
      </c>
      <c r="E99" s="8">
        <v>44180</v>
      </c>
      <c r="F99" s="7">
        <v>75880</v>
      </c>
      <c r="G99" s="7" t="s">
        <v>16</v>
      </c>
      <c r="H99" s="7" t="s">
        <v>207</v>
      </c>
      <c r="I99" s="8">
        <f ca="1">TODAY()</f>
        <v>45585</v>
      </c>
      <c r="J99" s="7">
        <f ca="1">All_Staff[[#This Row],[current date]]-All_Staff[[#This Row],[Date Joined]]</f>
        <v>1405</v>
      </c>
      <c r="K99" s="9">
        <f ca="1">All_Staff[[#This Row],[tunure]]/365</f>
        <v>3.8493150684931505</v>
      </c>
      <c r="L99" s="19">
        <f ca="1">IF(All_Staff[[#This Row],[tunure in year]]&gt;3,3%,2%)*All_Staff[[#This Row],[Salary]]</f>
        <v>2276.4</v>
      </c>
      <c r="M99" s="9">
        <f>_xlfn.XLOOKUP(All_Staff[[#This Row],[Rating]],'Salary vs Rating.'!$B$3:$B$7,'Salary vs Rating.'!$C$3:$C$7)</f>
        <v>3</v>
      </c>
      <c r="N99" s="9"/>
      <c r="O99" s="9"/>
    </row>
    <row r="100" spans="1:15" x14ac:dyDescent="0.25">
      <c r="A100" s="7" t="s">
        <v>35</v>
      </c>
      <c r="B100" s="7" t="s">
        <v>8</v>
      </c>
      <c r="C100" s="7" t="s">
        <v>21</v>
      </c>
      <c r="D100" s="7">
        <v>28</v>
      </c>
      <c r="E100" s="8">
        <v>44185</v>
      </c>
      <c r="F100" s="7">
        <v>75970</v>
      </c>
      <c r="G100" s="7" t="s">
        <v>16</v>
      </c>
      <c r="H100" s="7" t="s">
        <v>205</v>
      </c>
      <c r="I100" s="8">
        <f ca="1">TODAY()</f>
        <v>45585</v>
      </c>
      <c r="J100" s="7">
        <f ca="1">All_Staff[[#This Row],[current date]]-All_Staff[[#This Row],[Date Joined]]</f>
        <v>1400</v>
      </c>
      <c r="K100" s="9">
        <f ca="1">All_Staff[[#This Row],[tunure]]/365</f>
        <v>3.8356164383561642</v>
      </c>
      <c r="L100" s="19">
        <f ca="1">IF(All_Staff[[#This Row],[tunure in year]]&gt;3,3%,2%)*All_Staff[[#This Row],[Salary]]</f>
        <v>2279.1</v>
      </c>
      <c r="M100" s="9">
        <f>_xlfn.XLOOKUP(All_Staff[[#This Row],[Rating]],'Salary vs Rating.'!$B$3:$B$7,'Salary vs Rating.'!$C$3:$C$7)</f>
        <v>3</v>
      </c>
      <c r="N100" s="9"/>
      <c r="O100" s="9"/>
    </row>
    <row r="101" spans="1:15" x14ac:dyDescent="0.25">
      <c r="A101" s="7" t="s">
        <v>129</v>
      </c>
      <c r="B101" s="7" t="s">
        <v>8</v>
      </c>
      <c r="C101" s="7" t="s">
        <v>21</v>
      </c>
      <c r="D101" s="7">
        <v>28</v>
      </c>
      <c r="E101" s="8">
        <v>44124</v>
      </c>
      <c r="F101" s="7">
        <v>75970</v>
      </c>
      <c r="G101" s="7" t="s">
        <v>16</v>
      </c>
      <c r="H101" s="7" t="s">
        <v>207</v>
      </c>
      <c r="I101" s="8">
        <f ca="1">TODAY()</f>
        <v>45585</v>
      </c>
      <c r="J101" s="7">
        <f ca="1">All_Staff[[#This Row],[current date]]-All_Staff[[#This Row],[Date Joined]]</f>
        <v>1461</v>
      </c>
      <c r="K101" s="9">
        <f ca="1">All_Staff[[#This Row],[tunure]]/365</f>
        <v>4.0027397260273974</v>
      </c>
      <c r="L101" s="19">
        <f ca="1">IF(All_Staff[[#This Row],[tunure in year]]&gt;3,3%,2%)*All_Staff[[#This Row],[Salary]]</f>
        <v>2279.1</v>
      </c>
      <c r="M101" s="9">
        <f>_xlfn.XLOOKUP(All_Staff[[#This Row],[Rating]],'Salary vs Rating.'!$B$3:$B$7,'Salary vs Rating.'!$C$3:$C$7)</f>
        <v>3</v>
      </c>
      <c r="N101" s="9"/>
      <c r="O101" s="9"/>
    </row>
    <row r="102" spans="1:15" x14ac:dyDescent="0.25">
      <c r="A102" s="7" t="s">
        <v>62</v>
      </c>
      <c r="B102" s="7" t="s">
        <v>8</v>
      </c>
      <c r="C102" s="7" t="s">
        <v>9</v>
      </c>
      <c r="D102" s="7">
        <v>22</v>
      </c>
      <c r="E102" s="8">
        <v>44450</v>
      </c>
      <c r="F102" s="7">
        <v>76900</v>
      </c>
      <c r="G102" s="7" t="s">
        <v>13</v>
      </c>
      <c r="H102" s="7" t="s">
        <v>205</v>
      </c>
      <c r="I102" s="8">
        <f ca="1">TODAY()</f>
        <v>45585</v>
      </c>
      <c r="J102" s="7">
        <f ca="1">All_Staff[[#This Row],[current date]]-All_Staff[[#This Row],[Date Joined]]</f>
        <v>1135</v>
      </c>
      <c r="K102" s="9">
        <f ca="1">All_Staff[[#This Row],[tunure]]/365</f>
        <v>3.1095890410958904</v>
      </c>
      <c r="L102" s="19">
        <f ca="1">IF(All_Staff[[#This Row],[tunure in year]]&gt;3,3%,2%)*All_Staff[[#This Row],[Salary]]</f>
        <v>2307</v>
      </c>
      <c r="M102" s="9">
        <f>_xlfn.XLOOKUP(All_Staff[[#This Row],[Rating]],'Salary vs Rating.'!$B$3:$B$7,'Salary vs Rating.'!$C$3:$C$7)</f>
        <v>4</v>
      </c>
      <c r="N102" s="9"/>
      <c r="O102" s="9"/>
    </row>
    <row r="103" spans="1:15" x14ac:dyDescent="0.25">
      <c r="A103" s="7" t="s">
        <v>154</v>
      </c>
      <c r="B103" s="7" t="s">
        <v>8</v>
      </c>
      <c r="C103" s="7" t="s">
        <v>9</v>
      </c>
      <c r="D103" s="7">
        <v>22</v>
      </c>
      <c r="E103" s="8">
        <v>44388</v>
      </c>
      <c r="F103" s="7">
        <v>76900</v>
      </c>
      <c r="G103" s="7" t="s">
        <v>13</v>
      </c>
      <c r="H103" s="7" t="s">
        <v>207</v>
      </c>
      <c r="I103" s="8">
        <f ca="1">TODAY()</f>
        <v>45585</v>
      </c>
      <c r="J103" s="7">
        <f ca="1">All_Staff[[#This Row],[current date]]-All_Staff[[#This Row],[Date Joined]]</f>
        <v>1197</v>
      </c>
      <c r="K103" s="9">
        <f ca="1">All_Staff[[#This Row],[tunure]]/365</f>
        <v>3.2794520547945205</v>
      </c>
      <c r="L103" s="19">
        <f ca="1">IF(All_Staff[[#This Row],[tunure in year]]&gt;3,3%,2%)*All_Staff[[#This Row],[Salary]]</f>
        <v>2307</v>
      </c>
      <c r="M103" s="9">
        <f>_xlfn.XLOOKUP(All_Staff[[#This Row],[Rating]],'Salary vs Rating.'!$B$3:$B$7,'Salary vs Rating.'!$C$3:$C$7)</f>
        <v>4</v>
      </c>
      <c r="N103" s="9"/>
      <c r="O103" s="9"/>
    </row>
    <row r="104" spans="1:15" x14ac:dyDescent="0.25">
      <c r="A104" s="7" t="s">
        <v>72</v>
      </c>
      <c r="B104" s="7" t="s">
        <v>8</v>
      </c>
      <c r="C104" s="7" t="s">
        <v>9</v>
      </c>
      <c r="D104" s="7">
        <v>36</v>
      </c>
      <c r="E104" s="8">
        <v>44529</v>
      </c>
      <c r="F104" s="7">
        <v>78390</v>
      </c>
      <c r="G104" s="7" t="s">
        <v>16</v>
      </c>
      <c r="H104" s="7" t="s">
        <v>205</v>
      </c>
      <c r="I104" s="8">
        <f ca="1">TODAY()</f>
        <v>45585</v>
      </c>
      <c r="J104" s="7">
        <f ca="1">All_Staff[[#This Row],[current date]]-All_Staff[[#This Row],[Date Joined]]</f>
        <v>1056</v>
      </c>
      <c r="K104" s="9">
        <f ca="1">All_Staff[[#This Row],[tunure]]/365</f>
        <v>2.893150684931507</v>
      </c>
      <c r="L104" s="19">
        <f ca="1">IF(All_Staff[[#This Row],[tunure in year]]&gt;3,3%,2%)*All_Staff[[#This Row],[Salary]]</f>
        <v>1567.8</v>
      </c>
      <c r="M104" s="9">
        <f>_xlfn.XLOOKUP(All_Staff[[#This Row],[Rating]],'Salary vs Rating.'!$B$3:$B$7,'Salary vs Rating.'!$C$3:$C$7)</f>
        <v>3</v>
      </c>
      <c r="N104" s="9"/>
      <c r="O104" s="9"/>
    </row>
    <row r="105" spans="1:15" x14ac:dyDescent="0.25">
      <c r="A105" s="7" t="s">
        <v>164</v>
      </c>
      <c r="B105" s="7" t="s">
        <v>8</v>
      </c>
      <c r="C105" s="7" t="s">
        <v>9</v>
      </c>
      <c r="D105" s="7">
        <v>36</v>
      </c>
      <c r="E105" s="8">
        <v>44468</v>
      </c>
      <c r="F105" s="7">
        <v>78390</v>
      </c>
      <c r="G105" s="7" t="s">
        <v>16</v>
      </c>
      <c r="H105" s="7" t="s">
        <v>207</v>
      </c>
      <c r="I105" s="8">
        <f ca="1">TODAY()</f>
        <v>45585</v>
      </c>
      <c r="J105" s="7">
        <f ca="1">All_Staff[[#This Row],[current date]]-All_Staff[[#This Row],[Date Joined]]</f>
        <v>1117</v>
      </c>
      <c r="K105" s="9">
        <f ca="1">All_Staff[[#This Row],[tunure]]/365</f>
        <v>3.0602739726027397</v>
      </c>
      <c r="L105" s="19">
        <f ca="1">IF(All_Staff[[#This Row],[tunure in year]]&gt;3,3%,2%)*All_Staff[[#This Row],[Salary]]</f>
        <v>2351.6999999999998</v>
      </c>
      <c r="M105" s="9">
        <f>_xlfn.XLOOKUP(All_Staff[[#This Row],[Rating]],'Salary vs Rating.'!$B$3:$B$7,'Salary vs Rating.'!$C$3:$C$7)</f>
        <v>3</v>
      </c>
      <c r="N105" s="9"/>
      <c r="O105" s="9"/>
    </row>
    <row r="106" spans="1:15" x14ac:dyDescent="0.25">
      <c r="A106" s="7" t="s">
        <v>48</v>
      </c>
      <c r="B106" s="7" t="s">
        <v>8</v>
      </c>
      <c r="C106" s="7" t="s">
        <v>19</v>
      </c>
      <c r="D106" s="7">
        <v>36</v>
      </c>
      <c r="E106" s="8">
        <v>44494</v>
      </c>
      <c r="F106" s="7">
        <v>78540</v>
      </c>
      <c r="G106" s="7" t="s">
        <v>16</v>
      </c>
      <c r="H106" s="7" t="s">
        <v>205</v>
      </c>
      <c r="I106" s="8">
        <f ca="1">TODAY()</f>
        <v>45585</v>
      </c>
      <c r="J106" s="7">
        <f ca="1">All_Staff[[#This Row],[current date]]-All_Staff[[#This Row],[Date Joined]]</f>
        <v>1091</v>
      </c>
      <c r="K106" s="9">
        <f ca="1">All_Staff[[#This Row],[tunure]]/365</f>
        <v>2.989041095890411</v>
      </c>
      <c r="L106" s="19">
        <f ca="1">IF(All_Staff[[#This Row],[tunure in year]]&gt;3,3%,2%)*All_Staff[[#This Row],[Salary]]</f>
        <v>1570.8</v>
      </c>
      <c r="M106" s="9">
        <f>_xlfn.XLOOKUP(All_Staff[[#This Row],[Rating]],'Salary vs Rating.'!$B$3:$B$7,'Salary vs Rating.'!$C$3:$C$7)</f>
        <v>3</v>
      </c>
      <c r="N106" s="9"/>
      <c r="O106" s="9"/>
    </row>
    <row r="107" spans="1:15" x14ac:dyDescent="0.25">
      <c r="A107" s="7" t="s">
        <v>141</v>
      </c>
      <c r="B107" s="7" t="s">
        <v>8</v>
      </c>
      <c r="C107" s="7" t="s">
        <v>19</v>
      </c>
      <c r="D107" s="7">
        <v>36</v>
      </c>
      <c r="E107" s="8">
        <v>44433</v>
      </c>
      <c r="F107" s="7">
        <v>78540</v>
      </c>
      <c r="G107" s="7" t="s">
        <v>16</v>
      </c>
      <c r="H107" s="7" t="s">
        <v>207</v>
      </c>
      <c r="I107" s="8">
        <f ca="1">TODAY()</f>
        <v>45585</v>
      </c>
      <c r="J107" s="7">
        <f ca="1">All_Staff[[#This Row],[current date]]-All_Staff[[#This Row],[Date Joined]]</f>
        <v>1152</v>
      </c>
      <c r="K107" s="9">
        <f ca="1">All_Staff[[#This Row],[tunure]]/365</f>
        <v>3.1561643835616437</v>
      </c>
      <c r="L107" s="19">
        <f ca="1">IF(All_Staff[[#This Row],[tunure in year]]&gt;3,3%,2%)*All_Staff[[#This Row],[Salary]]</f>
        <v>2356.1999999999998</v>
      </c>
      <c r="M107" s="9">
        <f>_xlfn.XLOOKUP(All_Staff[[#This Row],[Rating]],'Salary vs Rating.'!$B$3:$B$7,'Salary vs Rating.'!$C$3:$C$7)</f>
        <v>3</v>
      </c>
      <c r="N107" s="9"/>
      <c r="O107" s="9"/>
    </row>
    <row r="108" spans="1:15" x14ac:dyDescent="0.25">
      <c r="A108" s="7" t="s">
        <v>104</v>
      </c>
      <c r="B108" s="7" t="s">
        <v>15</v>
      </c>
      <c r="C108" s="7" t="s">
        <v>9</v>
      </c>
      <c r="D108" s="7">
        <v>20</v>
      </c>
      <c r="E108" s="8">
        <v>44744</v>
      </c>
      <c r="F108" s="7">
        <v>79570</v>
      </c>
      <c r="G108" s="7" t="s">
        <v>16</v>
      </c>
      <c r="H108" s="7" t="s">
        <v>205</v>
      </c>
      <c r="I108" s="8">
        <f ca="1">TODAY()</f>
        <v>45585</v>
      </c>
      <c r="J108" s="7">
        <f ca="1">All_Staff[[#This Row],[current date]]-All_Staff[[#This Row],[Date Joined]]</f>
        <v>841</v>
      </c>
      <c r="K108" s="9">
        <f ca="1">All_Staff[[#This Row],[tunure]]/365</f>
        <v>2.3041095890410959</v>
      </c>
      <c r="L108" s="19">
        <f ca="1">IF(All_Staff[[#This Row],[tunure in year]]&gt;3,3%,2%)*All_Staff[[#This Row],[Salary]]</f>
        <v>1591.4</v>
      </c>
      <c r="M108" s="9">
        <f>_xlfn.XLOOKUP(All_Staff[[#This Row],[Rating]],'Salary vs Rating.'!$B$3:$B$7,'Salary vs Rating.'!$C$3:$C$7)</f>
        <v>3</v>
      </c>
      <c r="N108" s="9"/>
      <c r="O108" s="9"/>
    </row>
    <row r="109" spans="1:15" x14ac:dyDescent="0.25">
      <c r="A109" s="7" t="s">
        <v>197</v>
      </c>
      <c r="B109" s="7" t="s">
        <v>15</v>
      </c>
      <c r="C109" s="7" t="s">
        <v>9</v>
      </c>
      <c r="D109" s="7">
        <v>20</v>
      </c>
      <c r="E109" s="8">
        <v>44683</v>
      </c>
      <c r="F109" s="7">
        <v>79570</v>
      </c>
      <c r="G109" s="7" t="s">
        <v>16</v>
      </c>
      <c r="H109" s="7" t="s">
        <v>207</v>
      </c>
      <c r="I109" s="8">
        <f ca="1">TODAY()</f>
        <v>45585</v>
      </c>
      <c r="J109" s="7">
        <f ca="1">All_Staff[[#This Row],[current date]]-All_Staff[[#This Row],[Date Joined]]</f>
        <v>902</v>
      </c>
      <c r="K109" s="9">
        <f ca="1">All_Staff[[#This Row],[tunure]]/365</f>
        <v>2.4712328767123286</v>
      </c>
      <c r="L109" s="19">
        <f ca="1">IF(All_Staff[[#This Row],[tunure in year]]&gt;3,3%,2%)*All_Staff[[#This Row],[Salary]]</f>
        <v>1591.4</v>
      </c>
      <c r="M109" s="9">
        <f>_xlfn.XLOOKUP(All_Staff[[#This Row],[Rating]],'Salary vs Rating.'!$B$3:$B$7,'Salary vs Rating.'!$C$3:$C$7)</f>
        <v>3</v>
      </c>
      <c r="N109" s="9"/>
      <c r="O109" s="9"/>
    </row>
    <row r="110" spans="1:15" x14ac:dyDescent="0.25">
      <c r="A110" s="7" t="s">
        <v>39</v>
      </c>
      <c r="B110" s="7" t="s">
        <v>8</v>
      </c>
      <c r="C110" s="7" t="s">
        <v>12</v>
      </c>
      <c r="D110" s="7">
        <v>25</v>
      </c>
      <c r="E110" s="8">
        <v>44694</v>
      </c>
      <c r="F110" s="7">
        <v>80700</v>
      </c>
      <c r="G110" s="7" t="s">
        <v>13</v>
      </c>
      <c r="H110" s="7" t="s">
        <v>205</v>
      </c>
      <c r="I110" s="8">
        <f ca="1">TODAY()</f>
        <v>45585</v>
      </c>
      <c r="J110" s="7">
        <f ca="1">All_Staff[[#This Row],[current date]]-All_Staff[[#This Row],[Date Joined]]</f>
        <v>891</v>
      </c>
      <c r="K110" s="9">
        <f ca="1">All_Staff[[#This Row],[tunure]]/365</f>
        <v>2.441095890410959</v>
      </c>
      <c r="L110" s="19">
        <f ca="1">IF(All_Staff[[#This Row],[tunure in year]]&gt;3,3%,2%)*All_Staff[[#This Row],[Salary]]</f>
        <v>1614</v>
      </c>
      <c r="M110" s="9">
        <f>_xlfn.XLOOKUP(All_Staff[[#This Row],[Rating]],'Salary vs Rating.'!$B$3:$B$7,'Salary vs Rating.'!$C$3:$C$7)</f>
        <v>4</v>
      </c>
      <c r="N110" s="9"/>
      <c r="O110" s="9"/>
    </row>
    <row r="111" spans="1:15" x14ac:dyDescent="0.25">
      <c r="A111" s="7" t="s">
        <v>133</v>
      </c>
      <c r="B111" s="7" t="s">
        <v>8</v>
      </c>
      <c r="C111" s="7" t="s">
        <v>12</v>
      </c>
      <c r="D111" s="7">
        <v>25</v>
      </c>
      <c r="E111" s="8">
        <v>44633</v>
      </c>
      <c r="F111" s="7">
        <v>80700</v>
      </c>
      <c r="G111" s="7" t="s">
        <v>13</v>
      </c>
      <c r="H111" s="7" t="s">
        <v>207</v>
      </c>
      <c r="I111" s="8">
        <f ca="1">TODAY()</f>
        <v>45585</v>
      </c>
      <c r="J111" s="7">
        <f ca="1">All_Staff[[#This Row],[current date]]-All_Staff[[#This Row],[Date Joined]]</f>
        <v>952</v>
      </c>
      <c r="K111" s="9">
        <f ca="1">All_Staff[[#This Row],[tunure]]/365</f>
        <v>2.6082191780821917</v>
      </c>
      <c r="L111" s="19">
        <f ca="1">IF(All_Staff[[#This Row],[tunure in year]]&gt;3,3%,2%)*All_Staff[[#This Row],[Salary]]</f>
        <v>1614</v>
      </c>
      <c r="M111" s="9">
        <f>_xlfn.XLOOKUP(All_Staff[[#This Row],[Rating]],'Salary vs Rating.'!$B$3:$B$7,'Salary vs Rating.'!$C$3:$C$7)</f>
        <v>4</v>
      </c>
      <c r="N111" s="9"/>
      <c r="O111" s="9"/>
    </row>
    <row r="112" spans="1:15" x14ac:dyDescent="0.25">
      <c r="A112" s="7" t="s">
        <v>92</v>
      </c>
      <c r="B112" s="7" t="s">
        <v>8</v>
      </c>
      <c r="C112" s="7" t="s">
        <v>12</v>
      </c>
      <c r="D112" s="7">
        <v>27</v>
      </c>
      <c r="E112" s="8">
        <v>44686</v>
      </c>
      <c r="F112" s="7">
        <v>83750</v>
      </c>
      <c r="G112" s="7" t="s">
        <v>16</v>
      </c>
      <c r="H112" s="7" t="s">
        <v>205</v>
      </c>
      <c r="I112" s="8">
        <f ca="1">TODAY()</f>
        <v>45585</v>
      </c>
      <c r="J112" s="7">
        <f ca="1">All_Staff[[#This Row],[current date]]-All_Staff[[#This Row],[Date Joined]]</f>
        <v>899</v>
      </c>
      <c r="K112" s="9">
        <f ca="1">All_Staff[[#This Row],[tunure]]/365</f>
        <v>2.463013698630137</v>
      </c>
      <c r="L112" s="19">
        <f ca="1">IF(All_Staff[[#This Row],[tunure in year]]&gt;3,3%,2%)*All_Staff[[#This Row],[Salary]]</f>
        <v>1675</v>
      </c>
      <c r="M112" s="9">
        <f>_xlfn.XLOOKUP(All_Staff[[#This Row],[Rating]],'Salary vs Rating.'!$B$3:$B$7,'Salary vs Rating.'!$C$3:$C$7)</f>
        <v>3</v>
      </c>
      <c r="N112" s="9"/>
      <c r="O112" s="9"/>
    </row>
    <row r="113" spans="1:15" x14ac:dyDescent="0.25">
      <c r="A113" s="7" t="s">
        <v>185</v>
      </c>
      <c r="B113" s="7" t="s">
        <v>8</v>
      </c>
      <c r="C113" s="7" t="s">
        <v>12</v>
      </c>
      <c r="D113" s="7">
        <v>27</v>
      </c>
      <c r="E113" s="8">
        <v>44625</v>
      </c>
      <c r="F113" s="7">
        <v>83750</v>
      </c>
      <c r="G113" s="7" t="s">
        <v>16</v>
      </c>
      <c r="H113" s="7" t="s">
        <v>207</v>
      </c>
      <c r="I113" s="8">
        <f ca="1">TODAY()</f>
        <v>45585</v>
      </c>
      <c r="J113" s="7">
        <f ca="1">All_Staff[[#This Row],[current date]]-All_Staff[[#This Row],[Date Joined]]</f>
        <v>960</v>
      </c>
      <c r="K113" s="9">
        <f ca="1">All_Staff[[#This Row],[tunure]]/365</f>
        <v>2.6301369863013697</v>
      </c>
      <c r="L113" s="19">
        <f ca="1">IF(All_Staff[[#This Row],[tunure in year]]&gt;3,3%,2%)*All_Staff[[#This Row],[Salary]]</f>
        <v>1675</v>
      </c>
      <c r="M113" s="9">
        <f>_xlfn.XLOOKUP(All_Staff[[#This Row],[Rating]],'Salary vs Rating.'!$B$3:$B$7,'Salary vs Rating.'!$C$3:$C$7)</f>
        <v>3</v>
      </c>
      <c r="N113" s="9"/>
      <c r="O113" s="9"/>
    </row>
    <row r="114" spans="1:15" x14ac:dyDescent="0.25">
      <c r="A114" s="7" t="s">
        <v>28</v>
      </c>
      <c r="B114" s="7" t="s">
        <v>8</v>
      </c>
      <c r="C114" s="7" t="s">
        <v>21</v>
      </c>
      <c r="D114" s="7">
        <v>34</v>
      </c>
      <c r="E114" s="8">
        <v>44459</v>
      </c>
      <c r="F114" s="7">
        <v>85000</v>
      </c>
      <c r="G114" s="7" t="s">
        <v>16</v>
      </c>
      <c r="H114" s="7" t="s">
        <v>205</v>
      </c>
      <c r="I114" s="8">
        <f ca="1">TODAY()</f>
        <v>45585</v>
      </c>
      <c r="J114" s="7">
        <f ca="1">All_Staff[[#This Row],[current date]]-All_Staff[[#This Row],[Date Joined]]</f>
        <v>1126</v>
      </c>
      <c r="K114" s="9">
        <f ca="1">All_Staff[[#This Row],[tunure]]/365</f>
        <v>3.0849315068493151</v>
      </c>
      <c r="L114" s="19">
        <f ca="1">IF(All_Staff[[#This Row],[tunure in year]]&gt;3,3%,2%)*All_Staff[[#This Row],[Salary]]</f>
        <v>2550</v>
      </c>
      <c r="M114" s="9">
        <f>_xlfn.XLOOKUP(All_Staff[[#This Row],[Rating]],'Salary vs Rating.'!$B$3:$B$7,'Salary vs Rating.'!$C$3:$C$7)</f>
        <v>3</v>
      </c>
      <c r="N114" s="9"/>
      <c r="O114" s="9"/>
    </row>
    <row r="115" spans="1:15" x14ac:dyDescent="0.25">
      <c r="A115" s="7" t="s">
        <v>122</v>
      </c>
      <c r="B115" s="7" t="s">
        <v>8</v>
      </c>
      <c r="C115" s="7" t="s">
        <v>21</v>
      </c>
      <c r="D115" s="7">
        <v>34</v>
      </c>
      <c r="E115" s="8">
        <v>44397</v>
      </c>
      <c r="F115" s="7">
        <v>85000</v>
      </c>
      <c r="G115" s="7" t="s">
        <v>16</v>
      </c>
      <c r="H115" s="7" t="s">
        <v>207</v>
      </c>
      <c r="I115" s="8">
        <f ca="1">TODAY()</f>
        <v>45585</v>
      </c>
      <c r="J115" s="7">
        <f ca="1">All_Staff[[#This Row],[current date]]-All_Staff[[#This Row],[Date Joined]]</f>
        <v>1188</v>
      </c>
      <c r="K115" s="9">
        <f ca="1">All_Staff[[#This Row],[tunure]]/365</f>
        <v>3.2547945205479452</v>
      </c>
      <c r="L115" s="19">
        <f ca="1">IF(All_Staff[[#This Row],[tunure in year]]&gt;3,3%,2%)*All_Staff[[#This Row],[Salary]]</f>
        <v>2550</v>
      </c>
      <c r="M115" s="9">
        <f>_xlfn.XLOOKUP(All_Staff[[#This Row],[Rating]],'Salary vs Rating.'!$B$3:$B$7,'Salary vs Rating.'!$C$3:$C$7)</f>
        <v>3</v>
      </c>
      <c r="N115" s="9"/>
      <c r="O115" s="9"/>
    </row>
    <row r="116" spans="1:15" x14ac:dyDescent="0.25">
      <c r="A116" s="7" t="s">
        <v>88</v>
      </c>
      <c r="B116" s="7" t="s">
        <v>8</v>
      </c>
      <c r="C116" s="7" t="s">
        <v>21</v>
      </c>
      <c r="D116" s="7">
        <v>33</v>
      </c>
      <c r="E116" s="8">
        <v>44809</v>
      </c>
      <c r="F116" s="7">
        <v>86570</v>
      </c>
      <c r="G116" s="7" t="s">
        <v>16</v>
      </c>
      <c r="H116" s="7" t="s">
        <v>205</v>
      </c>
      <c r="I116" s="8">
        <f ca="1">TODAY()</f>
        <v>45585</v>
      </c>
      <c r="J116" s="7">
        <f ca="1">All_Staff[[#This Row],[current date]]-All_Staff[[#This Row],[Date Joined]]</f>
        <v>776</v>
      </c>
      <c r="K116" s="9">
        <f ca="1">All_Staff[[#This Row],[tunure]]/365</f>
        <v>2.1260273972602741</v>
      </c>
      <c r="L116" s="19">
        <f ca="1">IF(All_Staff[[#This Row],[tunure in year]]&gt;3,3%,2%)*All_Staff[[#This Row],[Salary]]</f>
        <v>1731.4</v>
      </c>
      <c r="M116" s="9">
        <f>_xlfn.XLOOKUP(All_Staff[[#This Row],[Rating]],'Salary vs Rating.'!$B$3:$B$7,'Salary vs Rating.'!$C$3:$C$7)</f>
        <v>3</v>
      </c>
      <c r="N116" s="9"/>
      <c r="O116" s="9"/>
    </row>
    <row r="117" spans="1:15" x14ac:dyDescent="0.25">
      <c r="A117" s="7" t="s">
        <v>181</v>
      </c>
      <c r="B117" s="7" t="s">
        <v>8</v>
      </c>
      <c r="C117" s="7" t="s">
        <v>21</v>
      </c>
      <c r="D117" s="7">
        <v>33</v>
      </c>
      <c r="E117" s="8">
        <v>44747</v>
      </c>
      <c r="F117" s="7">
        <v>86570</v>
      </c>
      <c r="G117" s="7" t="s">
        <v>16</v>
      </c>
      <c r="H117" s="7" t="s">
        <v>207</v>
      </c>
      <c r="I117" s="8">
        <f ca="1">TODAY()</f>
        <v>45585</v>
      </c>
      <c r="J117" s="7">
        <f ca="1">All_Staff[[#This Row],[current date]]-All_Staff[[#This Row],[Date Joined]]</f>
        <v>838</v>
      </c>
      <c r="K117" s="9">
        <f ca="1">All_Staff[[#This Row],[tunure]]/365</f>
        <v>2.2958904109589042</v>
      </c>
      <c r="L117" s="19">
        <f ca="1">IF(All_Staff[[#This Row],[tunure in year]]&gt;3,3%,2%)*All_Staff[[#This Row],[Salary]]</f>
        <v>1731.4</v>
      </c>
      <c r="M117" s="9">
        <f>_xlfn.XLOOKUP(All_Staff[[#This Row],[Rating]],'Salary vs Rating.'!$B$3:$B$7,'Salary vs Rating.'!$C$3:$C$7)</f>
        <v>3</v>
      </c>
      <c r="N117" s="9"/>
      <c r="O117" s="9"/>
    </row>
    <row r="118" spans="1:15" x14ac:dyDescent="0.25">
      <c r="A118" s="7" t="s">
        <v>74</v>
      </c>
      <c r="B118" s="7" t="s">
        <v>8</v>
      </c>
      <c r="C118" s="7" t="s">
        <v>12</v>
      </c>
      <c r="D118" s="7">
        <v>40</v>
      </c>
      <c r="E118" s="8">
        <v>44337</v>
      </c>
      <c r="F118" s="7">
        <v>87620</v>
      </c>
      <c r="G118" s="7" t="s">
        <v>16</v>
      </c>
      <c r="H118" s="7" t="s">
        <v>205</v>
      </c>
      <c r="I118" s="8">
        <f ca="1">TODAY()</f>
        <v>45585</v>
      </c>
      <c r="J118" s="7">
        <f ca="1">All_Staff[[#This Row],[current date]]-All_Staff[[#This Row],[Date Joined]]</f>
        <v>1248</v>
      </c>
      <c r="K118" s="9">
        <f ca="1">All_Staff[[#This Row],[tunure]]/365</f>
        <v>3.419178082191781</v>
      </c>
      <c r="L118" s="19">
        <f ca="1">IF(All_Staff[[#This Row],[tunure in year]]&gt;3,3%,2%)*All_Staff[[#This Row],[Salary]]</f>
        <v>2628.6</v>
      </c>
      <c r="M118" s="9">
        <f>_xlfn.XLOOKUP(All_Staff[[#This Row],[Rating]],'Salary vs Rating.'!$B$3:$B$7,'Salary vs Rating.'!$C$3:$C$7)</f>
        <v>3</v>
      </c>
      <c r="N118" s="9"/>
      <c r="O118" s="9"/>
    </row>
    <row r="119" spans="1:15" x14ac:dyDescent="0.25">
      <c r="A119" s="7" t="s">
        <v>166</v>
      </c>
      <c r="B119" s="7" t="s">
        <v>8</v>
      </c>
      <c r="C119" s="7" t="s">
        <v>12</v>
      </c>
      <c r="D119" s="7">
        <v>40</v>
      </c>
      <c r="E119" s="8">
        <v>44276</v>
      </c>
      <c r="F119" s="7">
        <v>87620</v>
      </c>
      <c r="G119" s="7" t="s">
        <v>16</v>
      </c>
      <c r="H119" s="7" t="s">
        <v>207</v>
      </c>
      <c r="I119" s="8">
        <f ca="1">TODAY()</f>
        <v>45585</v>
      </c>
      <c r="J119" s="7">
        <f ca="1">All_Staff[[#This Row],[current date]]-All_Staff[[#This Row],[Date Joined]]</f>
        <v>1309</v>
      </c>
      <c r="K119" s="9">
        <f ca="1">All_Staff[[#This Row],[tunure]]/365</f>
        <v>3.5863013698630137</v>
      </c>
      <c r="L119" s="19">
        <f ca="1">IF(All_Staff[[#This Row],[tunure in year]]&gt;3,3%,2%)*All_Staff[[#This Row],[Salary]]</f>
        <v>2628.6</v>
      </c>
      <c r="M119" s="9">
        <f>_xlfn.XLOOKUP(All_Staff[[#This Row],[Rating]],'Salary vs Rating.'!$B$3:$B$7,'Salary vs Rating.'!$C$3:$C$7)</f>
        <v>3</v>
      </c>
      <c r="N119" s="9"/>
      <c r="O119" s="9"/>
    </row>
    <row r="120" spans="1:15" x14ac:dyDescent="0.25">
      <c r="A120" s="7" t="s">
        <v>23</v>
      </c>
      <c r="B120" s="7" t="s">
        <v>15</v>
      </c>
      <c r="C120" s="7" t="s">
        <v>12</v>
      </c>
      <c r="D120" s="7">
        <v>37</v>
      </c>
      <c r="E120" s="8">
        <v>44338</v>
      </c>
      <c r="F120" s="7">
        <v>88050</v>
      </c>
      <c r="G120" s="7" t="s">
        <v>24</v>
      </c>
      <c r="H120" s="7" t="s">
        <v>205</v>
      </c>
      <c r="I120" s="8">
        <f ca="1">TODAY()</f>
        <v>45585</v>
      </c>
      <c r="J120" s="7">
        <f ca="1">All_Staff[[#This Row],[current date]]-All_Staff[[#This Row],[Date Joined]]</f>
        <v>1247</v>
      </c>
      <c r="K120" s="9">
        <f ca="1">All_Staff[[#This Row],[tunure]]/365</f>
        <v>3.4164383561643836</v>
      </c>
      <c r="L120" s="19">
        <f ca="1">IF(All_Staff[[#This Row],[tunure in year]]&gt;3,3%,2%)*All_Staff[[#This Row],[Salary]]</f>
        <v>2641.5</v>
      </c>
      <c r="M120" s="9">
        <f>_xlfn.XLOOKUP(All_Staff[[#This Row],[Rating]],'Salary vs Rating.'!$B$3:$B$7,'Salary vs Rating.'!$C$3:$C$7)</f>
        <v>2</v>
      </c>
      <c r="N120" s="9"/>
      <c r="O120" s="9"/>
    </row>
    <row r="121" spans="1:15" x14ac:dyDescent="0.25">
      <c r="A121" s="7" t="s">
        <v>118</v>
      </c>
      <c r="B121" s="7" t="s">
        <v>15</v>
      </c>
      <c r="C121" s="7" t="s">
        <v>12</v>
      </c>
      <c r="D121" s="7">
        <v>37</v>
      </c>
      <c r="E121" s="8">
        <v>44277</v>
      </c>
      <c r="F121" s="7">
        <v>88050</v>
      </c>
      <c r="G121" s="7" t="s">
        <v>24</v>
      </c>
      <c r="H121" s="7" t="s">
        <v>207</v>
      </c>
      <c r="I121" s="8">
        <f ca="1">TODAY()</f>
        <v>45585</v>
      </c>
      <c r="J121" s="7">
        <f ca="1">All_Staff[[#This Row],[current date]]-All_Staff[[#This Row],[Date Joined]]</f>
        <v>1308</v>
      </c>
      <c r="K121" s="9">
        <f ca="1">All_Staff[[#This Row],[tunure]]/365</f>
        <v>3.5835616438356164</v>
      </c>
      <c r="L121" s="19">
        <f ca="1">IF(All_Staff[[#This Row],[tunure in year]]&gt;3,3%,2%)*All_Staff[[#This Row],[Salary]]</f>
        <v>2641.5</v>
      </c>
      <c r="M121" s="9">
        <f>_xlfn.XLOOKUP(All_Staff[[#This Row],[Rating]],'Salary vs Rating.'!$B$3:$B$7,'Salary vs Rating.'!$C$3:$C$7)</f>
        <v>2</v>
      </c>
      <c r="N121" s="9"/>
      <c r="O121" s="9"/>
    </row>
    <row r="122" spans="1:15" x14ac:dyDescent="0.25">
      <c r="A122" s="7" t="s">
        <v>11</v>
      </c>
      <c r="B122" s="7" t="s">
        <v>206</v>
      </c>
      <c r="C122" s="7" t="s">
        <v>12</v>
      </c>
      <c r="D122" s="7">
        <v>26</v>
      </c>
      <c r="E122" s="8">
        <v>44271</v>
      </c>
      <c r="F122" s="7">
        <v>90700</v>
      </c>
      <c r="G122" s="7" t="s">
        <v>13</v>
      </c>
      <c r="H122" s="7" t="s">
        <v>205</v>
      </c>
      <c r="I122" s="8">
        <f ca="1">TODAY()</f>
        <v>45585</v>
      </c>
      <c r="J122" s="7">
        <f ca="1">All_Staff[[#This Row],[current date]]-All_Staff[[#This Row],[Date Joined]]</f>
        <v>1314</v>
      </c>
      <c r="K122" s="9">
        <f ca="1">All_Staff[[#This Row],[tunure]]/365</f>
        <v>3.6</v>
      </c>
      <c r="L122" s="19">
        <f ca="1">IF(All_Staff[[#This Row],[tunure in year]]&gt;3,3%,2%)*All_Staff[[#This Row],[Salary]]</f>
        <v>2721</v>
      </c>
      <c r="M122" s="9">
        <f>_xlfn.XLOOKUP(All_Staff[[#This Row],[Rating]],'Salary vs Rating.'!$B$3:$B$7,'Salary vs Rating.'!$C$3:$C$7)</f>
        <v>4</v>
      </c>
      <c r="N122" s="9"/>
      <c r="O122" s="9"/>
    </row>
    <row r="123" spans="1:15" x14ac:dyDescent="0.25">
      <c r="A123" s="7" t="s">
        <v>112</v>
      </c>
      <c r="B123" s="7" t="s">
        <v>206</v>
      </c>
      <c r="C123" s="7" t="s">
        <v>12</v>
      </c>
      <c r="D123" s="7">
        <v>27</v>
      </c>
      <c r="E123" s="8">
        <v>44212</v>
      </c>
      <c r="F123" s="7">
        <v>90700</v>
      </c>
      <c r="G123" s="7" t="s">
        <v>13</v>
      </c>
      <c r="H123" s="7" t="s">
        <v>207</v>
      </c>
      <c r="I123" s="8">
        <f ca="1">TODAY()</f>
        <v>45585</v>
      </c>
      <c r="J123" s="7">
        <f ca="1">All_Staff[[#This Row],[current date]]-All_Staff[[#This Row],[Date Joined]]</f>
        <v>1373</v>
      </c>
      <c r="K123" s="9">
        <f ca="1">All_Staff[[#This Row],[tunure]]/365</f>
        <v>3.7616438356164386</v>
      </c>
      <c r="L123" s="19">
        <f ca="1">IF(All_Staff[[#This Row],[tunure in year]]&gt;3,3%,2%)*All_Staff[[#This Row],[Salary]]</f>
        <v>2721</v>
      </c>
      <c r="M123" s="9">
        <f>_xlfn.XLOOKUP(All_Staff[[#This Row],[Rating]],'Salary vs Rating.'!$B$3:$B$7,'Salary vs Rating.'!$C$3:$C$7)</f>
        <v>4</v>
      </c>
      <c r="N123" s="9"/>
      <c r="O123" s="9"/>
    </row>
    <row r="124" spans="1:15" x14ac:dyDescent="0.25">
      <c r="A124" s="7" t="s">
        <v>52</v>
      </c>
      <c r="B124" s="7" t="s">
        <v>206</v>
      </c>
      <c r="C124" s="7" t="s">
        <v>12</v>
      </c>
      <c r="D124" s="7">
        <v>32</v>
      </c>
      <c r="E124" s="8">
        <v>44774</v>
      </c>
      <c r="F124" s="7">
        <v>91310</v>
      </c>
      <c r="G124" s="7" t="s">
        <v>16</v>
      </c>
      <c r="H124" s="7" t="s">
        <v>205</v>
      </c>
      <c r="I124" s="8">
        <f ca="1">TODAY()</f>
        <v>45585</v>
      </c>
      <c r="J124" s="7">
        <f ca="1">All_Staff[[#This Row],[current date]]-All_Staff[[#This Row],[Date Joined]]</f>
        <v>811</v>
      </c>
      <c r="K124" s="9">
        <f ca="1">All_Staff[[#This Row],[tunure]]/365</f>
        <v>2.2219178082191782</v>
      </c>
      <c r="L124" s="19">
        <f ca="1">IF(All_Staff[[#This Row],[tunure in year]]&gt;3,3%,2%)*All_Staff[[#This Row],[Salary]]</f>
        <v>1826.2</v>
      </c>
      <c r="M124" s="9">
        <f>_xlfn.XLOOKUP(All_Staff[[#This Row],[Rating]],'Salary vs Rating.'!$B$3:$B$7,'Salary vs Rating.'!$C$3:$C$7)</f>
        <v>3</v>
      </c>
      <c r="N124" s="9"/>
      <c r="O124" s="9"/>
    </row>
    <row r="125" spans="1:15" x14ac:dyDescent="0.25">
      <c r="A125" s="7" t="s">
        <v>145</v>
      </c>
      <c r="B125" s="7" t="s">
        <v>206</v>
      </c>
      <c r="C125" s="7" t="s">
        <v>12</v>
      </c>
      <c r="D125" s="7">
        <v>32</v>
      </c>
      <c r="E125" s="8">
        <v>44713</v>
      </c>
      <c r="F125" s="7">
        <v>91310</v>
      </c>
      <c r="G125" s="7" t="s">
        <v>16</v>
      </c>
      <c r="H125" s="7" t="s">
        <v>207</v>
      </c>
      <c r="I125" s="8">
        <f ca="1">TODAY()</f>
        <v>45585</v>
      </c>
      <c r="J125" s="7">
        <f ca="1">All_Staff[[#This Row],[current date]]-All_Staff[[#This Row],[Date Joined]]</f>
        <v>872</v>
      </c>
      <c r="K125" s="9">
        <f ca="1">All_Staff[[#This Row],[tunure]]/365</f>
        <v>2.3890410958904109</v>
      </c>
      <c r="L125" s="19">
        <f ca="1">IF(All_Staff[[#This Row],[tunure in year]]&gt;3,3%,2%)*All_Staff[[#This Row],[Salary]]</f>
        <v>1826.2</v>
      </c>
      <c r="M125" s="9">
        <f>_xlfn.XLOOKUP(All_Staff[[#This Row],[Rating]],'Salary vs Rating.'!$B$3:$B$7,'Salary vs Rating.'!$C$3:$C$7)</f>
        <v>3</v>
      </c>
      <c r="N125" s="9"/>
      <c r="O125" s="9"/>
    </row>
    <row r="126" spans="1:15" x14ac:dyDescent="0.25">
      <c r="A126" s="7" t="s">
        <v>68</v>
      </c>
      <c r="B126" s="7" t="s">
        <v>15</v>
      </c>
      <c r="C126" s="7" t="s">
        <v>21</v>
      </c>
      <c r="D126" s="7">
        <v>27</v>
      </c>
      <c r="E126" s="8">
        <v>44236</v>
      </c>
      <c r="F126" s="7">
        <v>91650</v>
      </c>
      <c r="G126" s="7" t="s">
        <v>13</v>
      </c>
      <c r="H126" s="7" t="s">
        <v>205</v>
      </c>
      <c r="I126" s="8">
        <f ca="1">TODAY()</f>
        <v>45585</v>
      </c>
      <c r="J126" s="7">
        <f ca="1">All_Staff[[#This Row],[current date]]-All_Staff[[#This Row],[Date Joined]]</f>
        <v>1349</v>
      </c>
      <c r="K126" s="9">
        <f ca="1">All_Staff[[#This Row],[tunure]]/365</f>
        <v>3.6958904109589041</v>
      </c>
      <c r="L126" s="19">
        <f ca="1">IF(All_Staff[[#This Row],[tunure in year]]&gt;3,3%,2%)*All_Staff[[#This Row],[Salary]]</f>
        <v>2749.5</v>
      </c>
      <c r="M126" s="9">
        <f>_xlfn.XLOOKUP(All_Staff[[#This Row],[Rating]],'Salary vs Rating.'!$B$3:$B$7,'Salary vs Rating.'!$C$3:$C$7)</f>
        <v>4</v>
      </c>
      <c r="N126" s="9"/>
      <c r="O126" s="9"/>
    </row>
    <row r="127" spans="1:15" x14ac:dyDescent="0.25">
      <c r="A127" s="7" t="s">
        <v>160</v>
      </c>
      <c r="B127" s="7" t="s">
        <v>15</v>
      </c>
      <c r="C127" s="7" t="s">
        <v>21</v>
      </c>
      <c r="D127" s="7">
        <v>27</v>
      </c>
      <c r="E127" s="8">
        <v>44174</v>
      </c>
      <c r="F127" s="7">
        <v>91650</v>
      </c>
      <c r="G127" s="7" t="s">
        <v>13</v>
      </c>
      <c r="H127" s="7" t="s">
        <v>207</v>
      </c>
      <c r="I127" s="8">
        <f ca="1">TODAY()</f>
        <v>45585</v>
      </c>
      <c r="J127" s="7">
        <f ca="1">All_Staff[[#This Row],[current date]]-All_Staff[[#This Row],[Date Joined]]</f>
        <v>1411</v>
      </c>
      <c r="K127" s="9">
        <f ca="1">All_Staff[[#This Row],[tunure]]/365</f>
        <v>3.8657534246575342</v>
      </c>
      <c r="L127" s="19">
        <f ca="1">IF(All_Staff[[#This Row],[tunure in year]]&gt;3,3%,2%)*All_Staff[[#This Row],[Salary]]</f>
        <v>2749.5</v>
      </c>
      <c r="M127" s="9">
        <f>_xlfn.XLOOKUP(All_Staff[[#This Row],[Rating]],'Salary vs Rating.'!$B$3:$B$7,'Salary vs Rating.'!$C$3:$C$7)</f>
        <v>4</v>
      </c>
      <c r="N127" s="9"/>
      <c r="O127" s="9"/>
    </row>
    <row r="128" spans="1:15" x14ac:dyDescent="0.25">
      <c r="A128" s="7" t="s">
        <v>102</v>
      </c>
      <c r="B128" s="7" t="s">
        <v>8</v>
      </c>
      <c r="C128" s="7" t="s">
        <v>21</v>
      </c>
      <c r="D128" s="7">
        <v>34</v>
      </c>
      <c r="E128" s="8">
        <v>44445</v>
      </c>
      <c r="F128" s="7">
        <v>92450</v>
      </c>
      <c r="G128" s="7" t="s">
        <v>16</v>
      </c>
      <c r="H128" s="7" t="s">
        <v>205</v>
      </c>
      <c r="I128" s="8">
        <f ca="1">TODAY()</f>
        <v>45585</v>
      </c>
      <c r="J128" s="7">
        <f ca="1">All_Staff[[#This Row],[current date]]-All_Staff[[#This Row],[Date Joined]]</f>
        <v>1140</v>
      </c>
      <c r="K128" s="9">
        <f ca="1">All_Staff[[#This Row],[tunure]]/365</f>
        <v>3.1232876712328768</v>
      </c>
      <c r="L128" s="19">
        <f ca="1">IF(All_Staff[[#This Row],[tunure in year]]&gt;3,3%,2%)*All_Staff[[#This Row],[Salary]]</f>
        <v>2773.5</v>
      </c>
      <c r="M128" s="9">
        <f>_xlfn.XLOOKUP(All_Staff[[#This Row],[Rating]],'Salary vs Rating.'!$B$3:$B$7,'Salary vs Rating.'!$C$3:$C$7)</f>
        <v>3</v>
      </c>
      <c r="N128" s="9"/>
      <c r="O128" s="9"/>
    </row>
    <row r="129" spans="1:15" x14ac:dyDescent="0.25">
      <c r="A129" s="7" t="s">
        <v>195</v>
      </c>
      <c r="B129" s="7" t="s">
        <v>8</v>
      </c>
      <c r="C129" s="7" t="s">
        <v>21</v>
      </c>
      <c r="D129" s="7">
        <v>34</v>
      </c>
      <c r="E129" s="8">
        <v>44383</v>
      </c>
      <c r="F129" s="7">
        <v>92450</v>
      </c>
      <c r="G129" s="7" t="s">
        <v>16</v>
      </c>
      <c r="H129" s="7" t="s">
        <v>207</v>
      </c>
      <c r="I129" s="8">
        <f ca="1">TODAY()</f>
        <v>45585</v>
      </c>
      <c r="J129" s="7">
        <f ca="1">All_Staff[[#This Row],[current date]]-All_Staff[[#This Row],[Date Joined]]</f>
        <v>1202</v>
      </c>
      <c r="K129" s="9">
        <f ca="1">All_Staff[[#This Row],[tunure]]/365</f>
        <v>3.2931506849315069</v>
      </c>
      <c r="L129" s="19">
        <f ca="1">IF(All_Staff[[#This Row],[tunure in year]]&gt;3,3%,2%)*All_Staff[[#This Row],[Salary]]</f>
        <v>2773.5</v>
      </c>
      <c r="M129" s="9">
        <f>_xlfn.XLOOKUP(All_Staff[[#This Row],[Rating]],'Salary vs Rating.'!$B$3:$B$7,'Salary vs Rating.'!$C$3:$C$7)</f>
        <v>3</v>
      </c>
      <c r="N129" s="9"/>
      <c r="O129" s="9"/>
    </row>
    <row r="130" spans="1:15" x14ac:dyDescent="0.25">
      <c r="A130" s="7" t="s">
        <v>77</v>
      </c>
      <c r="B130" s="7" t="s">
        <v>8</v>
      </c>
      <c r="C130" s="7" t="s">
        <v>19</v>
      </c>
      <c r="D130" s="7">
        <v>25</v>
      </c>
      <c r="E130" s="8">
        <v>44205</v>
      </c>
      <c r="F130" s="7">
        <v>92700</v>
      </c>
      <c r="G130" s="7" t="s">
        <v>16</v>
      </c>
      <c r="H130" s="7" t="s">
        <v>205</v>
      </c>
      <c r="I130" s="8">
        <f ca="1">TODAY()</f>
        <v>45585</v>
      </c>
      <c r="J130" s="7">
        <f ca="1">All_Staff[[#This Row],[current date]]-All_Staff[[#This Row],[Date Joined]]</f>
        <v>1380</v>
      </c>
      <c r="K130" s="9">
        <f ca="1">All_Staff[[#This Row],[tunure]]/365</f>
        <v>3.7808219178082192</v>
      </c>
      <c r="L130" s="19">
        <f ca="1">IF(All_Staff[[#This Row],[tunure in year]]&gt;3,3%,2%)*All_Staff[[#This Row],[Salary]]</f>
        <v>2781</v>
      </c>
      <c r="M130" s="9">
        <f>_xlfn.XLOOKUP(All_Staff[[#This Row],[Rating]],'Salary vs Rating.'!$B$3:$B$7,'Salary vs Rating.'!$C$3:$C$7)</f>
        <v>3</v>
      </c>
      <c r="N130" s="9"/>
      <c r="O130" s="9"/>
    </row>
    <row r="131" spans="1:15" x14ac:dyDescent="0.25">
      <c r="A131" s="7" t="s">
        <v>169</v>
      </c>
      <c r="B131" s="7" t="s">
        <v>8</v>
      </c>
      <c r="C131" s="7" t="s">
        <v>19</v>
      </c>
      <c r="D131" s="7">
        <v>25</v>
      </c>
      <c r="E131" s="8">
        <v>44144</v>
      </c>
      <c r="F131" s="7">
        <v>92700</v>
      </c>
      <c r="G131" s="7" t="s">
        <v>16</v>
      </c>
      <c r="H131" s="7" t="s">
        <v>207</v>
      </c>
      <c r="I131" s="8">
        <f ca="1">TODAY()</f>
        <v>45585</v>
      </c>
      <c r="J131" s="7">
        <f ca="1">All_Staff[[#This Row],[current date]]-All_Staff[[#This Row],[Date Joined]]</f>
        <v>1441</v>
      </c>
      <c r="K131" s="9">
        <f ca="1">All_Staff[[#This Row],[tunure]]/365</f>
        <v>3.9479452054794519</v>
      </c>
      <c r="L131" s="19">
        <f ca="1">IF(All_Staff[[#This Row],[tunure in year]]&gt;3,3%,2%)*All_Staff[[#This Row],[Salary]]</f>
        <v>2781</v>
      </c>
      <c r="M131" s="9">
        <f>_xlfn.XLOOKUP(All_Staff[[#This Row],[Rating]],'Salary vs Rating.'!$B$3:$B$7,'Salary vs Rating.'!$C$3:$C$7)</f>
        <v>3</v>
      </c>
      <c r="N131" s="9"/>
      <c r="O131" s="9"/>
    </row>
    <row r="132" spans="1:15" x14ac:dyDescent="0.25">
      <c r="A132" s="7" t="s">
        <v>71</v>
      </c>
      <c r="B132" s="7" t="s">
        <v>8</v>
      </c>
      <c r="C132" s="7" t="s">
        <v>12</v>
      </c>
      <c r="D132" s="7">
        <v>33</v>
      </c>
      <c r="E132" s="8">
        <v>44190</v>
      </c>
      <c r="F132" s="7">
        <v>96140</v>
      </c>
      <c r="G132" s="7" t="s">
        <v>16</v>
      </c>
      <c r="H132" s="7" t="s">
        <v>205</v>
      </c>
      <c r="I132" s="8">
        <f ca="1">TODAY()</f>
        <v>45585</v>
      </c>
      <c r="J132" s="7">
        <f ca="1">All_Staff[[#This Row],[current date]]-All_Staff[[#This Row],[Date Joined]]</f>
        <v>1395</v>
      </c>
      <c r="K132" s="9">
        <f ca="1">All_Staff[[#This Row],[tunure]]/365</f>
        <v>3.8219178082191783</v>
      </c>
      <c r="L132" s="19">
        <f ca="1">IF(All_Staff[[#This Row],[tunure in year]]&gt;3,3%,2%)*All_Staff[[#This Row],[Salary]]</f>
        <v>2884.2</v>
      </c>
      <c r="M132" s="9">
        <f>_xlfn.XLOOKUP(All_Staff[[#This Row],[Rating]],'Salary vs Rating.'!$B$3:$B$7,'Salary vs Rating.'!$C$3:$C$7)</f>
        <v>3</v>
      </c>
      <c r="N132" s="9"/>
      <c r="O132" s="9"/>
    </row>
    <row r="133" spans="1:15" x14ac:dyDescent="0.25">
      <c r="A133" s="7" t="s">
        <v>163</v>
      </c>
      <c r="B133" s="7" t="s">
        <v>8</v>
      </c>
      <c r="C133" s="7" t="s">
        <v>12</v>
      </c>
      <c r="D133" s="7">
        <v>33</v>
      </c>
      <c r="E133" s="8">
        <v>44129</v>
      </c>
      <c r="F133" s="7">
        <v>96140</v>
      </c>
      <c r="G133" s="7" t="s">
        <v>16</v>
      </c>
      <c r="H133" s="7" t="s">
        <v>207</v>
      </c>
      <c r="I133" s="8">
        <f ca="1">TODAY()</f>
        <v>45585</v>
      </c>
      <c r="J133" s="7">
        <f ca="1">All_Staff[[#This Row],[current date]]-All_Staff[[#This Row],[Date Joined]]</f>
        <v>1456</v>
      </c>
      <c r="K133" s="9">
        <f ca="1">All_Staff[[#This Row],[tunure]]/365</f>
        <v>3.989041095890411</v>
      </c>
      <c r="L133" s="19">
        <f ca="1">IF(All_Staff[[#This Row],[tunure in year]]&gt;3,3%,2%)*All_Staff[[#This Row],[Salary]]</f>
        <v>2884.2</v>
      </c>
      <c r="M133" s="9">
        <f>_xlfn.XLOOKUP(All_Staff[[#This Row],[Rating]],'Salary vs Rating.'!$B$3:$B$7,'Salary vs Rating.'!$C$3:$C$7)</f>
        <v>3</v>
      </c>
      <c r="N133" s="9"/>
      <c r="O133" s="9"/>
    </row>
    <row r="134" spans="1:15" x14ac:dyDescent="0.25">
      <c r="A134" s="7" t="s">
        <v>85</v>
      </c>
      <c r="B134" s="7" t="s">
        <v>15</v>
      </c>
      <c r="C134" s="7" t="s">
        <v>21</v>
      </c>
      <c r="D134" s="7">
        <v>30</v>
      </c>
      <c r="E134" s="8">
        <v>44606</v>
      </c>
      <c r="F134" s="7">
        <v>96800</v>
      </c>
      <c r="G134" s="7" t="s">
        <v>16</v>
      </c>
      <c r="H134" s="7" t="s">
        <v>205</v>
      </c>
      <c r="I134" s="8">
        <f ca="1">TODAY()</f>
        <v>45585</v>
      </c>
      <c r="J134" s="7">
        <f ca="1">All_Staff[[#This Row],[current date]]-All_Staff[[#This Row],[Date Joined]]</f>
        <v>979</v>
      </c>
      <c r="K134" s="9">
        <f ca="1">All_Staff[[#This Row],[tunure]]/365</f>
        <v>2.6821917808219178</v>
      </c>
      <c r="L134" s="19">
        <f ca="1">IF(All_Staff[[#This Row],[tunure in year]]&gt;3,3%,2%)*All_Staff[[#This Row],[Salary]]</f>
        <v>1936</v>
      </c>
      <c r="M134" s="9">
        <f>_xlfn.XLOOKUP(All_Staff[[#This Row],[Rating]],'Salary vs Rating.'!$B$3:$B$7,'Salary vs Rating.'!$C$3:$C$7)</f>
        <v>3</v>
      </c>
      <c r="N134" s="9"/>
      <c r="O134" s="9"/>
    </row>
    <row r="135" spans="1:15" x14ac:dyDescent="0.25">
      <c r="A135" s="7" t="s">
        <v>177</v>
      </c>
      <c r="B135" s="7" t="s">
        <v>15</v>
      </c>
      <c r="C135" s="7" t="s">
        <v>21</v>
      </c>
      <c r="D135" s="7">
        <v>30</v>
      </c>
      <c r="E135" s="8">
        <v>44544</v>
      </c>
      <c r="F135" s="7">
        <v>96800</v>
      </c>
      <c r="G135" s="7" t="s">
        <v>16</v>
      </c>
      <c r="H135" s="7" t="s">
        <v>207</v>
      </c>
      <c r="I135" s="8">
        <f ca="1">TODAY()</f>
        <v>45585</v>
      </c>
      <c r="J135" s="7">
        <f ca="1">All_Staff[[#This Row],[current date]]-All_Staff[[#This Row],[Date Joined]]</f>
        <v>1041</v>
      </c>
      <c r="K135" s="9">
        <f ca="1">All_Staff[[#This Row],[tunure]]/365</f>
        <v>2.8520547945205479</v>
      </c>
      <c r="L135" s="19">
        <f ca="1">IF(All_Staff[[#This Row],[tunure in year]]&gt;3,3%,2%)*All_Staff[[#This Row],[Salary]]</f>
        <v>1936</v>
      </c>
      <c r="M135" s="9">
        <f>_xlfn.XLOOKUP(All_Staff[[#This Row],[Rating]],'Salary vs Rating.'!$B$3:$B$7,'Salary vs Rating.'!$C$3:$C$7)</f>
        <v>3</v>
      </c>
      <c r="N135" s="9"/>
      <c r="O135" s="9"/>
    </row>
    <row r="136" spans="1:15" x14ac:dyDescent="0.25">
      <c r="A136" s="7" t="s">
        <v>105</v>
      </c>
      <c r="B136" s="7" t="s">
        <v>15</v>
      </c>
      <c r="C136" s="7" t="s">
        <v>9</v>
      </c>
      <c r="D136" s="7">
        <v>40</v>
      </c>
      <c r="E136" s="8">
        <v>44263</v>
      </c>
      <c r="F136" s="7">
        <v>99750</v>
      </c>
      <c r="G136" s="7" t="s">
        <v>16</v>
      </c>
      <c r="H136" s="7" t="s">
        <v>205</v>
      </c>
      <c r="I136" s="8">
        <f ca="1">TODAY()</f>
        <v>45585</v>
      </c>
      <c r="J136" s="7">
        <f ca="1">All_Staff[[#This Row],[current date]]-All_Staff[[#This Row],[Date Joined]]</f>
        <v>1322</v>
      </c>
      <c r="K136" s="9">
        <f ca="1">All_Staff[[#This Row],[tunure]]/365</f>
        <v>3.6219178082191781</v>
      </c>
      <c r="L136" s="19">
        <f ca="1">IF(All_Staff[[#This Row],[tunure in year]]&gt;3,3%,2%)*All_Staff[[#This Row],[Salary]]</f>
        <v>2992.5</v>
      </c>
      <c r="M136" s="9">
        <f>_xlfn.XLOOKUP(All_Staff[[#This Row],[Rating]],'Salary vs Rating.'!$B$3:$B$7,'Salary vs Rating.'!$C$3:$C$7)</f>
        <v>3</v>
      </c>
      <c r="N136" s="9"/>
      <c r="O136" s="9"/>
    </row>
    <row r="137" spans="1:15" x14ac:dyDescent="0.25">
      <c r="A137" s="7" t="s">
        <v>198</v>
      </c>
      <c r="B137" s="7" t="s">
        <v>15</v>
      </c>
      <c r="C137" s="7" t="s">
        <v>9</v>
      </c>
      <c r="D137" s="7">
        <v>40</v>
      </c>
      <c r="E137" s="8">
        <v>44204</v>
      </c>
      <c r="F137" s="7">
        <v>99750</v>
      </c>
      <c r="G137" s="7" t="s">
        <v>16</v>
      </c>
      <c r="H137" s="7" t="s">
        <v>207</v>
      </c>
      <c r="I137" s="8">
        <f ca="1">TODAY()</f>
        <v>45585</v>
      </c>
      <c r="J137" s="7">
        <f ca="1">All_Staff[[#This Row],[current date]]-All_Staff[[#This Row],[Date Joined]]</f>
        <v>1381</v>
      </c>
      <c r="K137" s="9">
        <f ca="1">All_Staff[[#This Row],[tunure]]/365</f>
        <v>3.7835616438356166</v>
      </c>
      <c r="L137" s="19">
        <f ca="1">IF(All_Staff[[#This Row],[tunure in year]]&gt;3,3%,2%)*All_Staff[[#This Row],[Salary]]</f>
        <v>2992.5</v>
      </c>
      <c r="M137" s="9">
        <f>_xlfn.XLOOKUP(All_Staff[[#This Row],[Rating]],'Salary vs Rating.'!$B$3:$B$7,'Salary vs Rating.'!$C$3:$C$7)</f>
        <v>3</v>
      </c>
      <c r="N137" s="9"/>
      <c r="O137" s="9"/>
    </row>
    <row r="138" spans="1:15" x14ac:dyDescent="0.25">
      <c r="A138" s="7" t="s">
        <v>107</v>
      </c>
      <c r="B138" s="7" t="s">
        <v>8</v>
      </c>
      <c r="C138" s="7" t="s">
        <v>9</v>
      </c>
      <c r="D138" s="7">
        <v>28</v>
      </c>
      <c r="E138" s="8">
        <v>44630</v>
      </c>
      <c r="F138" s="7">
        <v>99970</v>
      </c>
      <c r="G138" s="7" t="s">
        <v>16</v>
      </c>
      <c r="H138" s="7" t="s">
        <v>205</v>
      </c>
      <c r="I138" s="8">
        <f ca="1">TODAY()</f>
        <v>45585</v>
      </c>
      <c r="J138" s="7">
        <f ca="1">All_Staff[[#This Row],[current date]]-All_Staff[[#This Row],[Date Joined]]</f>
        <v>955</v>
      </c>
      <c r="K138" s="9">
        <f ca="1">All_Staff[[#This Row],[tunure]]/365</f>
        <v>2.6164383561643834</v>
      </c>
      <c r="L138" s="19">
        <f ca="1">IF(All_Staff[[#This Row],[tunure in year]]&gt;3,3%,2%)*All_Staff[[#This Row],[Salary]]</f>
        <v>1999.4</v>
      </c>
      <c r="M138" s="9">
        <f>_xlfn.XLOOKUP(All_Staff[[#This Row],[Rating]],'Salary vs Rating.'!$B$3:$B$7,'Salary vs Rating.'!$C$3:$C$7)</f>
        <v>3</v>
      </c>
      <c r="N138" s="9"/>
      <c r="O138" s="9"/>
    </row>
    <row r="139" spans="1:15" x14ac:dyDescent="0.25">
      <c r="A139" s="7" t="s">
        <v>200</v>
      </c>
      <c r="B139" s="7" t="s">
        <v>8</v>
      </c>
      <c r="C139" s="7" t="s">
        <v>9</v>
      </c>
      <c r="D139" s="7">
        <v>28</v>
      </c>
      <c r="E139" s="8">
        <v>44571</v>
      </c>
      <c r="F139" s="7">
        <v>99970</v>
      </c>
      <c r="G139" s="7" t="s">
        <v>16</v>
      </c>
      <c r="H139" s="7" t="s">
        <v>207</v>
      </c>
      <c r="I139" s="8">
        <f ca="1">TODAY()</f>
        <v>45585</v>
      </c>
      <c r="J139" s="7">
        <f ca="1">All_Staff[[#This Row],[current date]]-All_Staff[[#This Row],[Date Joined]]</f>
        <v>1014</v>
      </c>
      <c r="K139" s="9">
        <f ca="1">All_Staff[[#This Row],[tunure]]/365</f>
        <v>2.7780821917808218</v>
      </c>
      <c r="L139" s="19">
        <f ca="1">IF(All_Staff[[#This Row],[tunure in year]]&gt;3,3%,2%)*All_Staff[[#This Row],[Salary]]</f>
        <v>1999.4</v>
      </c>
      <c r="M139" s="9">
        <f>_xlfn.XLOOKUP(All_Staff[[#This Row],[Rating]],'Salary vs Rating.'!$B$3:$B$7,'Salary vs Rating.'!$C$3:$C$7)</f>
        <v>3</v>
      </c>
      <c r="N139" s="9"/>
      <c r="O139" s="9"/>
    </row>
    <row r="140" spans="1:15" x14ac:dyDescent="0.25">
      <c r="A140" s="7" t="s">
        <v>103</v>
      </c>
      <c r="B140" s="7" t="s">
        <v>15</v>
      </c>
      <c r="C140" s="7" t="s">
        <v>12</v>
      </c>
      <c r="D140" s="7">
        <v>24</v>
      </c>
      <c r="E140" s="8">
        <v>44686</v>
      </c>
      <c r="F140" s="7">
        <v>100420</v>
      </c>
      <c r="G140" s="7" t="s">
        <v>16</v>
      </c>
      <c r="H140" s="7" t="s">
        <v>205</v>
      </c>
      <c r="I140" s="8">
        <f ca="1">TODAY()</f>
        <v>45585</v>
      </c>
      <c r="J140" s="7">
        <f ca="1">All_Staff[[#This Row],[current date]]-All_Staff[[#This Row],[Date Joined]]</f>
        <v>899</v>
      </c>
      <c r="K140" s="9">
        <f ca="1">All_Staff[[#This Row],[tunure]]/365</f>
        <v>2.463013698630137</v>
      </c>
      <c r="L140" s="19">
        <f ca="1">IF(All_Staff[[#This Row],[tunure in year]]&gt;3,3%,2%)*All_Staff[[#This Row],[Salary]]</f>
        <v>2008.4</v>
      </c>
      <c r="M140" s="9">
        <f>_xlfn.XLOOKUP(All_Staff[[#This Row],[Rating]],'Salary vs Rating.'!$B$3:$B$7,'Salary vs Rating.'!$C$3:$C$7)</f>
        <v>3</v>
      </c>
      <c r="N140" s="9"/>
      <c r="O140" s="9"/>
    </row>
    <row r="141" spans="1:15" x14ac:dyDescent="0.25">
      <c r="A141" s="7" t="s">
        <v>196</v>
      </c>
      <c r="B141" s="7" t="s">
        <v>15</v>
      </c>
      <c r="C141" s="7" t="s">
        <v>12</v>
      </c>
      <c r="D141" s="7">
        <v>24</v>
      </c>
      <c r="E141" s="8">
        <v>44625</v>
      </c>
      <c r="F141" s="7">
        <v>100420</v>
      </c>
      <c r="G141" s="7" t="s">
        <v>16</v>
      </c>
      <c r="H141" s="7" t="s">
        <v>207</v>
      </c>
      <c r="I141" s="8">
        <f ca="1">TODAY()</f>
        <v>45585</v>
      </c>
      <c r="J141" s="7">
        <f ca="1">All_Staff[[#This Row],[current date]]-All_Staff[[#This Row],[Date Joined]]</f>
        <v>960</v>
      </c>
      <c r="K141" s="9">
        <f ca="1">All_Staff[[#This Row],[tunure]]/365</f>
        <v>2.6301369863013697</v>
      </c>
      <c r="L141" s="19">
        <f ca="1">IF(All_Staff[[#This Row],[tunure in year]]&gt;3,3%,2%)*All_Staff[[#This Row],[Salary]]</f>
        <v>2008.4</v>
      </c>
      <c r="M141" s="9">
        <f>_xlfn.XLOOKUP(All_Staff[[#This Row],[Rating]],'Salary vs Rating.'!$B$3:$B$7,'Salary vs Rating.'!$C$3:$C$7)</f>
        <v>3</v>
      </c>
      <c r="N141" s="9"/>
      <c r="O141" s="9"/>
    </row>
    <row r="142" spans="1:15" x14ac:dyDescent="0.25">
      <c r="A142" s="7" t="s">
        <v>50</v>
      </c>
      <c r="B142" s="7" t="s">
        <v>15</v>
      </c>
      <c r="C142" s="7" t="s">
        <v>9</v>
      </c>
      <c r="D142" s="7">
        <v>31</v>
      </c>
      <c r="E142" s="8">
        <v>44724</v>
      </c>
      <c r="F142" s="7">
        <v>103550</v>
      </c>
      <c r="G142" s="7" t="s">
        <v>16</v>
      </c>
      <c r="H142" s="7" t="s">
        <v>205</v>
      </c>
      <c r="I142" s="8">
        <f ca="1">TODAY()</f>
        <v>45585</v>
      </c>
      <c r="J142" s="7">
        <f ca="1">All_Staff[[#This Row],[current date]]-All_Staff[[#This Row],[Date Joined]]</f>
        <v>861</v>
      </c>
      <c r="K142" s="9">
        <f ca="1">All_Staff[[#This Row],[tunure]]/365</f>
        <v>2.3589041095890413</v>
      </c>
      <c r="L142" s="19">
        <f ca="1">IF(All_Staff[[#This Row],[tunure in year]]&gt;3,3%,2%)*All_Staff[[#This Row],[Salary]]</f>
        <v>2071</v>
      </c>
      <c r="M142" s="9">
        <f>_xlfn.XLOOKUP(All_Staff[[#This Row],[Rating]],'Salary vs Rating.'!$B$3:$B$7,'Salary vs Rating.'!$C$3:$C$7)</f>
        <v>3</v>
      </c>
      <c r="N142" s="9"/>
      <c r="O142" s="9"/>
    </row>
    <row r="143" spans="1:15" x14ac:dyDescent="0.25">
      <c r="A143" s="7" t="s">
        <v>143</v>
      </c>
      <c r="B143" s="7" t="s">
        <v>15</v>
      </c>
      <c r="C143" s="7" t="s">
        <v>9</v>
      </c>
      <c r="D143" s="7">
        <v>31</v>
      </c>
      <c r="E143" s="8">
        <v>44663</v>
      </c>
      <c r="F143" s="7">
        <v>103550</v>
      </c>
      <c r="G143" s="7" t="s">
        <v>16</v>
      </c>
      <c r="H143" s="7" t="s">
        <v>207</v>
      </c>
      <c r="I143" s="8">
        <f ca="1">TODAY()</f>
        <v>45585</v>
      </c>
      <c r="J143" s="7">
        <f ca="1">All_Staff[[#This Row],[current date]]-All_Staff[[#This Row],[Date Joined]]</f>
        <v>922</v>
      </c>
      <c r="K143" s="9">
        <f ca="1">All_Staff[[#This Row],[tunure]]/365</f>
        <v>2.526027397260274</v>
      </c>
      <c r="L143" s="19">
        <f ca="1">IF(All_Staff[[#This Row],[tunure in year]]&gt;3,3%,2%)*All_Staff[[#This Row],[Salary]]</f>
        <v>2071</v>
      </c>
      <c r="M143" s="9">
        <f>_xlfn.XLOOKUP(All_Staff[[#This Row],[Rating]],'Salary vs Rating.'!$B$3:$B$7,'Salary vs Rating.'!$C$3:$C$7)</f>
        <v>3</v>
      </c>
      <c r="N143" s="9"/>
      <c r="O143" s="9"/>
    </row>
    <row r="144" spans="1:15" x14ac:dyDescent="0.25">
      <c r="A144" s="7" t="s">
        <v>96</v>
      </c>
      <c r="B144" s="7" t="s">
        <v>8</v>
      </c>
      <c r="C144" s="7" t="s">
        <v>9</v>
      </c>
      <c r="D144" s="7">
        <v>28</v>
      </c>
      <c r="E144" s="8">
        <v>44649</v>
      </c>
      <c r="F144" s="7">
        <v>104120</v>
      </c>
      <c r="G144" s="7" t="s">
        <v>16</v>
      </c>
      <c r="H144" s="7" t="s">
        <v>205</v>
      </c>
      <c r="I144" s="8">
        <f ca="1">TODAY()</f>
        <v>45585</v>
      </c>
      <c r="J144" s="7">
        <f ca="1">All_Staff[[#This Row],[current date]]-All_Staff[[#This Row],[Date Joined]]</f>
        <v>936</v>
      </c>
      <c r="K144" s="9">
        <f ca="1">All_Staff[[#This Row],[tunure]]/365</f>
        <v>2.5643835616438357</v>
      </c>
      <c r="L144" s="19">
        <f ca="1">IF(All_Staff[[#This Row],[tunure in year]]&gt;3,3%,2%)*All_Staff[[#This Row],[Salary]]</f>
        <v>2082.4</v>
      </c>
      <c r="M144" s="9">
        <f>_xlfn.XLOOKUP(All_Staff[[#This Row],[Rating]],'Salary vs Rating.'!$B$3:$B$7,'Salary vs Rating.'!$C$3:$C$7)</f>
        <v>3</v>
      </c>
      <c r="N144" s="9"/>
      <c r="O144" s="9"/>
    </row>
    <row r="145" spans="1:15" x14ac:dyDescent="0.25">
      <c r="A145" s="7" t="s">
        <v>189</v>
      </c>
      <c r="B145" s="7" t="s">
        <v>8</v>
      </c>
      <c r="C145" s="7" t="s">
        <v>9</v>
      </c>
      <c r="D145" s="7">
        <v>28</v>
      </c>
      <c r="E145" s="8">
        <v>44590</v>
      </c>
      <c r="F145" s="7">
        <v>104120</v>
      </c>
      <c r="G145" s="7" t="s">
        <v>16</v>
      </c>
      <c r="H145" s="7" t="s">
        <v>207</v>
      </c>
      <c r="I145" s="8">
        <f ca="1">TODAY()</f>
        <v>45585</v>
      </c>
      <c r="J145" s="7">
        <f ca="1">All_Staff[[#This Row],[current date]]-All_Staff[[#This Row],[Date Joined]]</f>
        <v>995</v>
      </c>
      <c r="K145" s="9">
        <f ca="1">All_Staff[[#This Row],[tunure]]/365</f>
        <v>2.7260273972602738</v>
      </c>
      <c r="L145" s="19">
        <f ca="1">IF(All_Staff[[#This Row],[tunure in year]]&gt;3,3%,2%)*All_Staff[[#This Row],[Salary]]</f>
        <v>2082.4</v>
      </c>
      <c r="M145" s="9">
        <f>_xlfn.XLOOKUP(All_Staff[[#This Row],[Rating]],'Salary vs Rating.'!$B$3:$B$7,'Salary vs Rating.'!$C$3:$C$7)</f>
        <v>3</v>
      </c>
      <c r="N145" s="9"/>
      <c r="O145" s="9"/>
    </row>
    <row r="146" spans="1:15" x14ac:dyDescent="0.25">
      <c r="A146" s="7" t="s">
        <v>101</v>
      </c>
      <c r="B146" s="7" t="s">
        <v>8</v>
      </c>
      <c r="C146" s="7" t="s">
        <v>12</v>
      </c>
      <c r="D146" s="7">
        <v>40</v>
      </c>
      <c r="E146" s="8">
        <v>44381</v>
      </c>
      <c r="F146" s="7">
        <v>104410</v>
      </c>
      <c r="G146" s="7" t="s">
        <v>16</v>
      </c>
      <c r="H146" s="7" t="s">
        <v>205</v>
      </c>
      <c r="I146" s="8">
        <f ca="1">TODAY()</f>
        <v>45585</v>
      </c>
      <c r="J146" s="7">
        <f ca="1">All_Staff[[#This Row],[current date]]-All_Staff[[#This Row],[Date Joined]]</f>
        <v>1204</v>
      </c>
      <c r="K146" s="9">
        <f ca="1">All_Staff[[#This Row],[tunure]]/365</f>
        <v>3.2986301369863016</v>
      </c>
      <c r="L146" s="19">
        <f ca="1">IF(All_Staff[[#This Row],[tunure in year]]&gt;3,3%,2%)*All_Staff[[#This Row],[Salary]]</f>
        <v>3132.2999999999997</v>
      </c>
      <c r="M146" s="9">
        <f>_xlfn.XLOOKUP(All_Staff[[#This Row],[Rating]],'Salary vs Rating.'!$B$3:$B$7,'Salary vs Rating.'!$C$3:$C$7)</f>
        <v>3</v>
      </c>
      <c r="N146" s="9"/>
      <c r="O146" s="9"/>
    </row>
    <row r="147" spans="1:15" x14ac:dyDescent="0.25">
      <c r="A147" s="7" t="s">
        <v>194</v>
      </c>
      <c r="B147" s="7" t="s">
        <v>8</v>
      </c>
      <c r="C147" s="7" t="s">
        <v>12</v>
      </c>
      <c r="D147" s="7">
        <v>40</v>
      </c>
      <c r="E147" s="8">
        <v>44320</v>
      </c>
      <c r="F147" s="7">
        <v>104410</v>
      </c>
      <c r="G147" s="7" t="s">
        <v>16</v>
      </c>
      <c r="H147" s="7" t="s">
        <v>207</v>
      </c>
      <c r="I147" s="8">
        <f ca="1">TODAY()</f>
        <v>45585</v>
      </c>
      <c r="J147" s="7">
        <f ca="1">All_Staff[[#This Row],[current date]]-All_Staff[[#This Row],[Date Joined]]</f>
        <v>1265</v>
      </c>
      <c r="K147" s="9">
        <f ca="1">All_Staff[[#This Row],[tunure]]/365</f>
        <v>3.4657534246575343</v>
      </c>
      <c r="L147" s="19">
        <f ca="1">IF(All_Staff[[#This Row],[tunure in year]]&gt;3,3%,2%)*All_Staff[[#This Row],[Salary]]</f>
        <v>3132.2999999999997</v>
      </c>
      <c r="M147" s="9">
        <f>_xlfn.XLOOKUP(All_Staff[[#This Row],[Rating]],'Salary vs Rating.'!$B$3:$B$7,'Salary vs Rating.'!$C$3:$C$7)</f>
        <v>3</v>
      </c>
      <c r="N147" s="9"/>
      <c r="O147" s="9"/>
    </row>
    <row r="148" spans="1:15" x14ac:dyDescent="0.25">
      <c r="A148" s="7" t="s">
        <v>43</v>
      </c>
      <c r="B148" s="7" t="s">
        <v>8</v>
      </c>
      <c r="C148" s="7" t="s">
        <v>9</v>
      </c>
      <c r="D148" s="7">
        <v>28</v>
      </c>
      <c r="E148" s="8">
        <v>44486</v>
      </c>
      <c r="F148" s="7">
        <v>104770</v>
      </c>
      <c r="G148" s="7" t="s">
        <v>16</v>
      </c>
      <c r="H148" s="7" t="s">
        <v>205</v>
      </c>
      <c r="I148" s="8">
        <f ca="1">TODAY()</f>
        <v>45585</v>
      </c>
      <c r="J148" s="7">
        <f ca="1">All_Staff[[#This Row],[current date]]-All_Staff[[#This Row],[Date Joined]]</f>
        <v>1099</v>
      </c>
      <c r="K148" s="9">
        <f ca="1">All_Staff[[#This Row],[tunure]]/365</f>
        <v>3.010958904109589</v>
      </c>
      <c r="L148" s="19">
        <f ca="1">IF(All_Staff[[#This Row],[tunure in year]]&gt;3,3%,2%)*All_Staff[[#This Row],[Salary]]</f>
        <v>3143.1</v>
      </c>
      <c r="M148" s="9">
        <f>_xlfn.XLOOKUP(All_Staff[[#This Row],[Rating]],'Salary vs Rating.'!$B$3:$B$7,'Salary vs Rating.'!$C$3:$C$7)</f>
        <v>3</v>
      </c>
      <c r="N148" s="9"/>
      <c r="O148" s="9"/>
    </row>
    <row r="149" spans="1:15" x14ac:dyDescent="0.25">
      <c r="A149" s="7" t="s">
        <v>136</v>
      </c>
      <c r="B149" s="7" t="s">
        <v>8</v>
      </c>
      <c r="C149" s="7" t="s">
        <v>9</v>
      </c>
      <c r="D149" s="7">
        <v>28</v>
      </c>
      <c r="E149" s="8">
        <v>44425</v>
      </c>
      <c r="F149" s="7">
        <v>104770</v>
      </c>
      <c r="G149" s="7" t="s">
        <v>16</v>
      </c>
      <c r="H149" s="7" t="s">
        <v>207</v>
      </c>
      <c r="I149" s="8">
        <f ca="1">TODAY()</f>
        <v>45585</v>
      </c>
      <c r="J149" s="7">
        <f ca="1">All_Staff[[#This Row],[current date]]-All_Staff[[#This Row],[Date Joined]]</f>
        <v>1160</v>
      </c>
      <c r="K149" s="9">
        <f ca="1">All_Staff[[#This Row],[tunure]]/365</f>
        <v>3.1780821917808217</v>
      </c>
      <c r="L149" s="19">
        <f ca="1">IF(All_Staff[[#This Row],[tunure in year]]&gt;3,3%,2%)*All_Staff[[#This Row],[Salary]]</f>
        <v>3143.1</v>
      </c>
      <c r="M149" s="9">
        <f>_xlfn.XLOOKUP(All_Staff[[#This Row],[Rating]],'Salary vs Rating.'!$B$3:$B$7,'Salary vs Rating.'!$C$3:$C$7)</f>
        <v>3</v>
      </c>
      <c r="N149" s="9"/>
      <c r="O149" s="9"/>
    </row>
    <row r="150" spans="1:15" x14ac:dyDescent="0.25">
      <c r="A150" s="7" t="s">
        <v>69</v>
      </c>
      <c r="B150" s="7" t="s">
        <v>15</v>
      </c>
      <c r="C150" s="7" t="s">
        <v>9</v>
      </c>
      <c r="D150" s="7">
        <v>23</v>
      </c>
      <c r="E150" s="8">
        <v>44440</v>
      </c>
      <c r="F150" s="7">
        <v>106460</v>
      </c>
      <c r="G150" s="7" t="s">
        <v>16</v>
      </c>
      <c r="H150" s="7" t="s">
        <v>205</v>
      </c>
      <c r="I150" s="8">
        <f ca="1">TODAY()</f>
        <v>45585</v>
      </c>
      <c r="J150" s="7">
        <f ca="1">All_Staff[[#This Row],[current date]]-All_Staff[[#This Row],[Date Joined]]</f>
        <v>1145</v>
      </c>
      <c r="K150" s="9">
        <f ca="1">All_Staff[[#This Row],[tunure]]/365</f>
        <v>3.1369863013698631</v>
      </c>
      <c r="L150" s="19">
        <f ca="1">IF(All_Staff[[#This Row],[tunure in year]]&gt;3,3%,2%)*All_Staff[[#This Row],[Salary]]</f>
        <v>3193.7999999999997</v>
      </c>
      <c r="M150" s="9">
        <f>_xlfn.XLOOKUP(All_Staff[[#This Row],[Rating]],'Salary vs Rating.'!$B$3:$B$7,'Salary vs Rating.'!$C$3:$C$7)</f>
        <v>3</v>
      </c>
      <c r="N150" s="9"/>
      <c r="O150" s="9"/>
    </row>
    <row r="151" spans="1:15" x14ac:dyDescent="0.25">
      <c r="A151" s="7" t="s">
        <v>161</v>
      </c>
      <c r="B151" s="7" t="s">
        <v>15</v>
      </c>
      <c r="C151" s="7" t="s">
        <v>9</v>
      </c>
      <c r="D151" s="7">
        <v>23</v>
      </c>
      <c r="E151" s="8">
        <v>44378</v>
      </c>
      <c r="F151" s="7">
        <v>106460</v>
      </c>
      <c r="G151" s="7" t="s">
        <v>16</v>
      </c>
      <c r="H151" s="7" t="s">
        <v>207</v>
      </c>
      <c r="I151" s="8">
        <f ca="1">TODAY()</f>
        <v>45585</v>
      </c>
      <c r="J151" s="7">
        <f ca="1">All_Staff[[#This Row],[current date]]-All_Staff[[#This Row],[Date Joined]]</f>
        <v>1207</v>
      </c>
      <c r="K151" s="9">
        <f ca="1">All_Staff[[#This Row],[tunure]]/365</f>
        <v>3.3068493150684932</v>
      </c>
      <c r="L151" s="19">
        <f ca="1">IF(All_Staff[[#This Row],[tunure in year]]&gt;3,3%,2%)*All_Staff[[#This Row],[Salary]]</f>
        <v>3193.7999999999997</v>
      </c>
      <c r="M151" s="9">
        <f>_xlfn.XLOOKUP(All_Staff[[#This Row],[Rating]],'Salary vs Rating.'!$B$3:$B$7,'Salary vs Rating.'!$C$3:$C$7)</f>
        <v>3</v>
      </c>
      <c r="N151" s="9"/>
      <c r="O151" s="9"/>
    </row>
    <row r="152" spans="1:15" x14ac:dyDescent="0.25">
      <c r="A152" s="7" t="s">
        <v>22</v>
      </c>
      <c r="B152" s="7" t="s">
        <v>15</v>
      </c>
      <c r="C152" s="7" t="s">
        <v>12</v>
      </c>
      <c r="D152" s="7">
        <v>20</v>
      </c>
      <c r="E152" s="8">
        <v>44459</v>
      </c>
      <c r="F152" s="7">
        <v>107700</v>
      </c>
      <c r="G152" s="7" t="s">
        <v>16</v>
      </c>
      <c r="H152" s="7" t="s">
        <v>205</v>
      </c>
      <c r="I152" s="8">
        <f ca="1">TODAY()</f>
        <v>45585</v>
      </c>
      <c r="J152" s="7">
        <f ca="1">All_Staff[[#This Row],[current date]]-All_Staff[[#This Row],[Date Joined]]</f>
        <v>1126</v>
      </c>
      <c r="K152" s="9">
        <f ca="1">All_Staff[[#This Row],[tunure]]/365</f>
        <v>3.0849315068493151</v>
      </c>
      <c r="L152" s="19">
        <f ca="1">IF(All_Staff[[#This Row],[tunure in year]]&gt;3,3%,2%)*All_Staff[[#This Row],[Salary]]</f>
        <v>3231</v>
      </c>
      <c r="M152" s="9">
        <f>_xlfn.XLOOKUP(All_Staff[[#This Row],[Rating]],'Salary vs Rating.'!$B$3:$B$7,'Salary vs Rating.'!$C$3:$C$7)</f>
        <v>3</v>
      </c>
      <c r="N152" s="9"/>
      <c r="O152" s="9"/>
    </row>
    <row r="153" spans="1:15" x14ac:dyDescent="0.25">
      <c r="A153" s="7" t="s">
        <v>117</v>
      </c>
      <c r="B153" s="7" t="s">
        <v>15</v>
      </c>
      <c r="C153" s="7" t="s">
        <v>12</v>
      </c>
      <c r="D153" s="7">
        <v>20</v>
      </c>
      <c r="E153" s="8">
        <v>44397</v>
      </c>
      <c r="F153" s="7">
        <v>107700</v>
      </c>
      <c r="G153" s="7" t="s">
        <v>16</v>
      </c>
      <c r="H153" s="7" t="s">
        <v>207</v>
      </c>
      <c r="I153" s="8">
        <f ca="1">TODAY()</f>
        <v>45585</v>
      </c>
      <c r="J153" s="7">
        <f ca="1">All_Staff[[#This Row],[current date]]-All_Staff[[#This Row],[Date Joined]]</f>
        <v>1188</v>
      </c>
      <c r="K153" s="9">
        <f ca="1">All_Staff[[#This Row],[tunure]]/365</f>
        <v>3.2547945205479452</v>
      </c>
      <c r="L153" s="19">
        <f ca="1">IF(All_Staff[[#This Row],[tunure in year]]&gt;3,3%,2%)*All_Staff[[#This Row],[Salary]]</f>
        <v>3231</v>
      </c>
      <c r="M153" s="9">
        <f>_xlfn.XLOOKUP(All_Staff[[#This Row],[Rating]],'Salary vs Rating.'!$B$3:$B$7,'Salary vs Rating.'!$C$3:$C$7)</f>
        <v>3</v>
      </c>
      <c r="N153" s="9"/>
      <c r="O153" s="9"/>
    </row>
    <row r="154" spans="1:15" x14ac:dyDescent="0.25">
      <c r="A154" s="7" t="s">
        <v>33</v>
      </c>
      <c r="B154" s="7" t="s">
        <v>8</v>
      </c>
      <c r="C154" s="7" t="s">
        <v>19</v>
      </c>
      <c r="D154" s="7">
        <v>38</v>
      </c>
      <c r="E154" s="8">
        <v>44377</v>
      </c>
      <c r="F154" s="7">
        <v>109160</v>
      </c>
      <c r="G154" s="7" t="s">
        <v>10</v>
      </c>
      <c r="H154" s="7" t="s">
        <v>205</v>
      </c>
      <c r="I154" s="8">
        <f ca="1">TODAY()</f>
        <v>45585</v>
      </c>
      <c r="J154" s="7">
        <f ca="1">All_Staff[[#This Row],[current date]]-All_Staff[[#This Row],[Date Joined]]</f>
        <v>1208</v>
      </c>
      <c r="K154" s="9">
        <f ca="1">All_Staff[[#This Row],[tunure]]/365</f>
        <v>3.3095890410958906</v>
      </c>
      <c r="L154" s="19">
        <f ca="1">IF(All_Staff[[#This Row],[tunure in year]]&gt;3,3%,2%)*All_Staff[[#This Row],[Salary]]</f>
        <v>3274.7999999999997</v>
      </c>
      <c r="M154" s="9">
        <f>_xlfn.XLOOKUP(All_Staff[[#This Row],[Rating]],'Salary vs Rating.'!$B$3:$B$7,'Salary vs Rating.'!$C$3:$C$7)</f>
        <v>5</v>
      </c>
      <c r="N154" s="9"/>
      <c r="O154" s="9"/>
    </row>
    <row r="155" spans="1:15" x14ac:dyDescent="0.25">
      <c r="A155" s="7" t="s">
        <v>127</v>
      </c>
      <c r="B155" s="7" t="s">
        <v>8</v>
      </c>
      <c r="C155" s="7" t="s">
        <v>19</v>
      </c>
      <c r="D155" s="7">
        <v>38</v>
      </c>
      <c r="E155" s="8">
        <v>44316</v>
      </c>
      <c r="F155" s="7">
        <v>109160</v>
      </c>
      <c r="G155" s="7" t="s">
        <v>10</v>
      </c>
      <c r="H155" s="7" t="s">
        <v>207</v>
      </c>
      <c r="I155" s="8">
        <f ca="1">TODAY()</f>
        <v>45585</v>
      </c>
      <c r="J155" s="7">
        <f ca="1">All_Staff[[#This Row],[current date]]-All_Staff[[#This Row],[Date Joined]]</f>
        <v>1269</v>
      </c>
      <c r="K155" s="9">
        <f ca="1">All_Staff[[#This Row],[tunure]]/365</f>
        <v>3.4767123287671233</v>
      </c>
      <c r="L155" s="19">
        <f ca="1">IF(All_Staff[[#This Row],[tunure in year]]&gt;3,3%,2%)*All_Staff[[#This Row],[Salary]]</f>
        <v>3274.7999999999997</v>
      </c>
      <c r="M155" s="9">
        <f>_xlfn.XLOOKUP(All_Staff[[#This Row],[Rating]],'Salary vs Rating.'!$B$3:$B$7,'Salary vs Rating.'!$C$3:$C$7)</f>
        <v>5</v>
      </c>
      <c r="N155" s="9"/>
      <c r="O155" s="9"/>
    </row>
    <row r="156" spans="1:15" x14ac:dyDescent="0.25">
      <c r="A156" s="7" t="s">
        <v>34</v>
      </c>
      <c r="B156" s="7" t="s">
        <v>15</v>
      </c>
      <c r="C156" s="7" t="s">
        <v>9</v>
      </c>
      <c r="D156" s="7">
        <v>25</v>
      </c>
      <c r="E156" s="8">
        <v>44726</v>
      </c>
      <c r="F156" s="7">
        <v>109190</v>
      </c>
      <c r="G156" s="7" t="s">
        <v>13</v>
      </c>
      <c r="H156" s="7" t="s">
        <v>205</v>
      </c>
      <c r="I156" s="8">
        <f ca="1">TODAY()</f>
        <v>45585</v>
      </c>
      <c r="J156" s="7">
        <f ca="1">All_Staff[[#This Row],[current date]]-All_Staff[[#This Row],[Date Joined]]</f>
        <v>859</v>
      </c>
      <c r="K156" s="9">
        <f ca="1">All_Staff[[#This Row],[tunure]]/365</f>
        <v>2.3534246575342466</v>
      </c>
      <c r="L156" s="19">
        <f ca="1">IF(All_Staff[[#This Row],[tunure in year]]&gt;3,3%,2%)*All_Staff[[#This Row],[Salary]]</f>
        <v>2183.8000000000002</v>
      </c>
      <c r="M156" s="9">
        <f>_xlfn.XLOOKUP(All_Staff[[#This Row],[Rating]],'Salary vs Rating.'!$B$3:$B$7,'Salary vs Rating.'!$C$3:$C$7)</f>
        <v>4</v>
      </c>
      <c r="N156" s="9"/>
      <c r="O156" s="9"/>
    </row>
    <row r="157" spans="1:15" x14ac:dyDescent="0.25">
      <c r="A157" s="7" t="s">
        <v>128</v>
      </c>
      <c r="B157" s="7" t="s">
        <v>15</v>
      </c>
      <c r="C157" s="7" t="s">
        <v>9</v>
      </c>
      <c r="D157" s="7">
        <v>25</v>
      </c>
      <c r="E157" s="8">
        <v>44665</v>
      </c>
      <c r="F157" s="7">
        <v>109190</v>
      </c>
      <c r="G157" s="7" t="s">
        <v>13</v>
      </c>
      <c r="H157" s="7" t="s">
        <v>207</v>
      </c>
      <c r="I157" s="8">
        <f ca="1">TODAY()</f>
        <v>45585</v>
      </c>
      <c r="J157" s="7">
        <f ca="1">All_Staff[[#This Row],[current date]]-All_Staff[[#This Row],[Date Joined]]</f>
        <v>920</v>
      </c>
      <c r="K157" s="9">
        <f ca="1">All_Staff[[#This Row],[tunure]]/365</f>
        <v>2.5205479452054793</v>
      </c>
      <c r="L157" s="19">
        <f ca="1">IF(All_Staff[[#This Row],[tunure in year]]&gt;3,3%,2%)*All_Staff[[#This Row],[Salary]]</f>
        <v>2183.8000000000002</v>
      </c>
      <c r="M157" s="9">
        <f>_xlfn.XLOOKUP(All_Staff[[#This Row],[Rating]],'Salary vs Rating.'!$B$3:$B$7,'Salary vs Rating.'!$C$3:$C$7)</f>
        <v>4</v>
      </c>
      <c r="N157" s="9"/>
      <c r="O157" s="9"/>
    </row>
    <row r="158" spans="1:15" x14ac:dyDescent="0.25">
      <c r="A158" s="7" t="s">
        <v>87</v>
      </c>
      <c r="B158" s="7" t="s">
        <v>15</v>
      </c>
      <c r="C158" s="7" t="s">
        <v>12</v>
      </c>
      <c r="D158" s="7">
        <v>29</v>
      </c>
      <c r="E158" s="8">
        <v>44180</v>
      </c>
      <c r="F158" s="7">
        <v>112110</v>
      </c>
      <c r="G158" s="7" t="s">
        <v>24</v>
      </c>
      <c r="H158" s="7" t="s">
        <v>205</v>
      </c>
      <c r="I158" s="8">
        <f ca="1">TODAY()</f>
        <v>45585</v>
      </c>
      <c r="J158" s="7">
        <f ca="1">All_Staff[[#This Row],[current date]]-All_Staff[[#This Row],[Date Joined]]</f>
        <v>1405</v>
      </c>
      <c r="K158" s="9">
        <f ca="1">All_Staff[[#This Row],[tunure]]/365</f>
        <v>3.8493150684931505</v>
      </c>
      <c r="L158" s="19">
        <f ca="1">IF(All_Staff[[#This Row],[tunure in year]]&gt;3,3%,2%)*All_Staff[[#This Row],[Salary]]</f>
        <v>3363.2999999999997</v>
      </c>
      <c r="M158" s="9">
        <f>_xlfn.XLOOKUP(All_Staff[[#This Row],[Rating]],'Salary vs Rating.'!$B$3:$B$7,'Salary vs Rating.'!$C$3:$C$7)</f>
        <v>2</v>
      </c>
      <c r="N158" s="9"/>
      <c r="O158" s="9"/>
    </row>
    <row r="159" spans="1:15" x14ac:dyDescent="0.25">
      <c r="A159" s="7" t="s">
        <v>180</v>
      </c>
      <c r="B159" s="7" t="s">
        <v>15</v>
      </c>
      <c r="C159" s="7" t="s">
        <v>12</v>
      </c>
      <c r="D159" s="7">
        <v>29</v>
      </c>
      <c r="E159" s="8">
        <v>44119</v>
      </c>
      <c r="F159" s="7">
        <v>112110</v>
      </c>
      <c r="G159" s="7" t="s">
        <v>24</v>
      </c>
      <c r="H159" s="7" t="s">
        <v>207</v>
      </c>
      <c r="I159" s="8">
        <f ca="1">TODAY()</f>
        <v>45585</v>
      </c>
      <c r="J159" s="7">
        <f ca="1">All_Staff[[#This Row],[current date]]-All_Staff[[#This Row],[Date Joined]]</f>
        <v>1466</v>
      </c>
      <c r="K159" s="9">
        <f ca="1">All_Staff[[#This Row],[tunure]]/365</f>
        <v>4.0164383561643833</v>
      </c>
      <c r="L159" s="19">
        <f ca="1">IF(All_Staff[[#This Row],[tunure in year]]&gt;3,3%,2%)*All_Staff[[#This Row],[Salary]]</f>
        <v>3363.2999999999997</v>
      </c>
      <c r="M159" s="9">
        <f>_xlfn.XLOOKUP(All_Staff[[#This Row],[Rating]],'Salary vs Rating.'!$B$3:$B$7,'Salary vs Rating.'!$C$3:$C$7)</f>
        <v>2</v>
      </c>
      <c r="N159" s="9"/>
      <c r="O159" s="9"/>
    </row>
    <row r="160" spans="1:15" x14ac:dyDescent="0.25">
      <c r="A160" s="7" t="s">
        <v>81</v>
      </c>
      <c r="B160" s="7" t="s">
        <v>8</v>
      </c>
      <c r="C160" s="7" t="s">
        <v>9</v>
      </c>
      <c r="D160" s="7">
        <v>30</v>
      </c>
      <c r="E160" s="8">
        <v>44861</v>
      </c>
      <c r="F160" s="7">
        <v>112570</v>
      </c>
      <c r="G160" s="7" t="s">
        <v>16</v>
      </c>
      <c r="H160" s="7" t="s">
        <v>205</v>
      </c>
      <c r="I160" s="8">
        <f ca="1">TODAY()</f>
        <v>45585</v>
      </c>
      <c r="J160" s="7">
        <f ca="1">All_Staff[[#This Row],[current date]]-All_Staff[[#This Row],[Date Joined]]</f>
        <v>724</v>
      </c>
      <c r="K160" s="9">
        <f ca="1">All_Staff[[#This Row],[tunure]]/365</f>
        <v>1.9835616438356165</v>
      </c>
      <c r="L160" s="19">
        <f ca="1">IF(All_Staff[[#This Row],[tunure in year]]&gt;3,3%,2%)*All_Staff[[#This Row],[Salary]]</f>
        <v>2251.4</v>
      </c>
      <c r="M160" s="9">
        <f>_xlfn.XLOOKUP(All_Staff[[#This Row],[Rating]],'Salary vs Rating.'!$B$3:$B$7,'Salary vs Rating.'!$C$3:$C$7)</f>
        <v>3</v>
      </c>
      <c r="N160" s="9"/>
      <c r="O160" s="9"/>
    </row>
    <row r="161" spans="1:15" x14ac:dyDescent="0.25">
      <c r="A161" s="7" t="s">
        <v>173</v>
      </c>
      <c r="B161" s="7" t="s">
        <v>8</v>
      </c>
      <c r="C161" s="7" t="s">
        <v>9</v>
      </c>
      <c r="D161" s="7">
        <v>30</v>
      </c>
      <c r="E161" s="8">
        <v>44800</v>
      </c>
      <c r="F161" s="7">
        <v>112570</v>
      </c>
      <c r="G161" s="7" t="s">
        <v>16</v>
      </c>
      <c r="H161" s="7" t="s">
        <v>207</v>
      </c>
      <c r="I161" s="8">
        <f ca="1">TODAY()</f>
        <v>45585</v>
      </c>
      <c r="J161" s="7">
        <f ca="1">All_Staff[[#This Row],[current date]]-All_Staff[[#This Row],[Date Joined]]</f>
        <v>785</v>
      </c>
      <c r="K161" s="9">
        <f ca="1">All_Staff[[#This Row],[tunure]]/365</f>
        <v>2.1506849315068495</v>
      </c>
      <c r="L161" s="19">
        <f ca="1">IF(All_Staff[[#This Row],[tunure in year]]&gt;3,3%,2%)*All_Staff[[#This Row],[Salary]]</f>
        <v>2251.4</v>
      </c>
      <c r="M161" s="9">
        <f>_xlfn.XLOOKUP(All_Staff[[#This Row],[Rating]],'Salary vs Rating.'!$B$3:$B$7,'Salary vs Rating.'!$C$3:$C$7)</f>
        <v>3</v>
      </c>
      <c r="N161" s="9"/>
      <c r="O161" s="9"/>
    </row>
    <row r="162" spans="1:15" x14ac:dyDescent="0.25">
      <c r="A162" s="7" t="s">
        <v>64</v>
      </c>
      <c r="B162" s="7" t="s">
        <v>15</v>
      </c>
      <c r="C162" s="7" t="s">
        <v>12</v>
      </c>
      <c r="D162" s="7">
        <v>20</v>
      </c>
      <c r="E162" s="8">
        <v>44183</v>
      </c>
      <c r="F162" s="7">
        <v>112650</v>
      </c>
      <c r="G162" s="7" t="s">
        <v>16</v>
      </c>
      <c r="H162" s="7" t="s">
        <v>205</v>
      </c>
      <c r="I162" s="8">
        <f ca="1">TODAY()</f>
        <v>45585</v>
      </c>
      <c r="J162" s="7">
        <f ca="1">All_Staff[[#This Row],[current date]]-All_Staff[[#This Row],[Date Joined]]</f>
        <v>1402</v>
      </c>
      <c r="K162" s="9">
        <f ca="1">All_Staff[[#This Row],[tunure]]/365</f>
        <v>3.8410958904109589</v>
      </c>
      <c r="L162" s="19">
        <f ca="1">IF(All_Staff[[#This Row],[tunure in year]]&gt;3,3%,2%)*All_Staff[[#This Row],[Salary]]</f>
        <v>3379.5</v>
      </c>
      <c r="M162" s="9">
        <f>_xlfn.XLOOKUP(All_Staff[[#This Row],[Rating]],'Salary vs Rating.'!$B$3:$B$7,'Salary vs Rating.'!$C$3:$C$7)</f>
        <v>3</v>
      </c>
      <c r="N162" s="9"/>
      <c r="O162" s="9"/>
    </row>
    <row r="163" spans="1:15" x14ac:dyDescent="0.25">
      <c r="A163" s="7" t="s">
        <v>64</v>
      </c>
      <c r="B163" s="7" t="s">
        <v>15</v>
      </c>
      <c r="C163" s="7" t="s">
        <v>9</v>
      </c>
      <c r="D163" s="7">
        <v>34</v>
      </c>
      <c r="E163" s="8">
        <v>44703</v>
      </c>
      <c r="F163" s="7">
        <v>112650</v>
      </c>
      <c r="G163" s="7" t="s">
        <v>16</v>
      </c>
      <c r="H163" s="7" t="s">
        <v>205</v>
      </c>
      <c r="I163" s="8">
        <f ca="1">TODAY()</f>
        <v>45585</v>
      </c>
      <c r="J163" s="7">
        <f ca="1">All_Staff[[#This Row],[current date]]-All_Staff[[#This Row],[Date Joined]]</f>
        <v>882</v>
      </c>
      <c r="K163" s="9">
        <f ca="1">All_Staff[[#This Row],[tunure]]/365</f>
        <v>2.4164383561643836</v>
      </c>
      <c r="L163" s="19">
        <f ca="1">IF(All_Staff[[#This Row],[tunure in year]]&gt;3,3%,2%)*All_Staff[[#This Row],[Salary]]</f>
        <v>2253</v>
      </c>
      <c r="M163" s="9">
        <f>_xlfn.XLOOKUP(All_Staff[[#This Row],[Rating]],'Salary vs Rating.'!$B$3:$B$7,'Salary vs Rating.'!$C$3:$C$7)</f>
        <v>3</v>
      </c>
      <c r="N163" s="9"/>
      <c r="O163" s="9"/>
    </row>
    <row r="164" spans="1:15" x14ac:dyDescent="0.25">
      <c r="A164" s="7" t="s">
        <v>156</v>
      </c>
      <c r="B164" s="7" t="s">
        <v>15</v>
      </c>
      <c r="C164" s="7" t="s">
        <v>12</v>
      </c>
      <c r="D164" s="7">
        <v>20</v>
      </c>
      <c r="E164" s="8">
        <v>44122</v>
      </c>
      <c r="F164" s="7">
        <v>112650</v>
      </c>
      <c r="G164" s="7" t="s">
        <v>16</v>
      </c>
      <c r="H164" s="7" t="s">
        <v>207</v>
      </c>
      <c r="I164" s="8">
        <f ca="1">TODAY()</f>
        <v>45585</v>
      </c>
      <c r="J164" s="7">
        <f ca="1">All_Staff[[#This Row],[current date]]-All_Staff[[#This Row],[Date Joined]]</f>
        <v>1463</v>
      </c>
      <c r="K164" s="9">
        <f ca="1">All_Staff[[#This Row],[tunure]]/365</f>
        <v>4.0082191780821921</v>
      </c>
      <c r="L164" s="19">
        <f ca="1">IF(All_Staff[[#This Row],[tunure in year]]&gt;3,3%,2%)*All_Staff[[#This Row],[Salary]]</f>
        <v>3379.5</v>
      </c>
      <c r="M164" s="9">
        <f>_xlfn.XLOOKUP(All_Staff[[#This Row],[Rating]],'Salary vs Rating.'!$B$3:$B$7,'Salary vs Rating.'!$C$3:$C$7)</f>
        <v>3</v>
      </c>
      <c r="N164" s="9"/>
      <c r="O164" s="9"/>
    </row>
    <row r="165" spans="1:15" x14ac:dyDescent="0.25">
      <c r="A165" s="7" t="s">
        <v>178</v>
      </c>
      <c r="B165" s="7" t="s">
        <v>15</v>
      </c>
      <c r="C165" s="7" t="s">
        <v>9</v>
      </c>
      <c r="D165" s="7">
        <v>34</v>
      </c>
      <c r="E165" s="8">
        <v>44642</v>
      </c>
      <c r="F165" s="7">
        <v>112650</v>
      </c>
      <c r="G165" s="7" t="s">
        <v>16</v>
      </c>
      <c r="H165" s="7" t="s">
        <v>207</v>
      </c>
      <c r="I165" s="8">
        <f ca="1">TODAY()</f>
        <v>45585</v>
      </c>
      <c r="J165" s="7">
        <f ca="1">All_Staff[[#This Row],[current date]]-All_Staff[[#This Row],[Date Joined]]</f>
        <v>943</v>
      </c>
      <c r="K165" s="9">
        <f ca="1">All_Staff[[#This Row],[tunure]]/365</f>
        <v>2.5835616438356164</v>
      </c>
      <c r="L165" s="19">
        <f ca="1">IF(All_Staff[[#This Row],[tunure in year]]&gt;3,3%,2%)*All_Staff[[#This Row],[Salary]]</f>
        <v>2253</v>
      </c>
      <c r="M165" s="9">
        <f>_xlfn.XLOOKUP(All_Staff[[#This Row],[Rating]],'Salary vs Rating.'!$B$3:$B$7,'Salary vs Rating.'!$C$3:$C$7)</f>
        <v>3</v>
      </c>
      <c r="N165" s="9"/>
      <c r="O165" s="9"/>
    </row>
    <row r="166" spans="1:15" x14ac:dyDescent="0.25">
      <c r="A166" s="7" t="s">
        <v>58</v>
      </c>
      <c r="B166" s="7" t="s">
        <v>15</v>
      </c>
      <c r="C166" s="7" t="s">
        <v>19</v>
      </c>
      <c r="D166" s="7">
        <v>22</v>
      </c>
      <c r="E166" s="8">
        <v>44446</v>
      </c>
      <c r="F166" s="7">
        <v>112780</v>
      </c>
      <c r="G166" s="7" t="s">
        <v>13</v>
      </c>
      <c r="H166" s="7" t="s">
        <v>205</v>
      </c>
      <c r="I166" s="8">
        <f ca="1">TODAY()</f>
        <v>45585</v>
      </c>
      <c r="J166" s="7">
        <f ca="1">All_Staff[[#This Row],[current date]]-All_Staff[[#This Row],[Date Joined]]</f>
        <v>1139</v>
      </c>
      <c r="K166" s="9">
        <f ca="1">All_Staff[[#This Row],[tunure]]/365</f>
        <v>3.1205479452054794</v>
      </c>
      <c r="L166" s="19">
        <f ca="1">IF(All_Staff[[#This Row],[tunure in year]]&gt;3,3%,2%)*All_Staff[[#This Row],[Salary]]</f>
        <v>3383.4</v>
      </c>
      <c r="M166" s="9">
        <f>_xlfn.XLOOKUP(All_Staff[[#This Row],[Rating]],'Salary vs Rating.'!$B$3:$B$7,'Salary vs Rating.'!$C$3:$C$7)</f>
        <v>4</v>
      </c>
      <c r="N166" s="9"/>
      <c r="O166" s="9"/>
    </row>
    <row r="167" spans="1:15" x14ac:dyDescent="0.25">
      <c r="A167" s="7" t="s">
        <v>150</v>
      </c>
      <c r="B167" s="7" t="s">
        <v>15</v>
      </c>
      <c r="C167" s="7" t="s">
        <v>19</v>
      </c>
      <c r="D167" s="7">
        <v>22</v>
      </c>
      <c r="E167" s="8">
        <v>44384</v>
      </c>
      <c r="F167" s="7">
        <v>112780</v>
      </c>
      <c r="G167" s="7" t="s">
        <v>13</v>
      </c>
      <c r="H167" s="7" t="s">
        <v>207</v>
      </c>
      <c r="I167" s="8">
        <f ca="1">TODAY()</f>
        <v>45585</v>
      </c>
      <c r="J167" s="7">
        <f ca="1">All_Staff[[#This Row],[current date]]-All_Staff[[#This Row],[Date Joined]]</f>
        <v>1201</v>
      </c>
      <c r="K167" s="9">
        <f ca="1">All_Staff[[#This Row],[tunure]]/365</f>
        <v>3.2904109589041095</v>
      </c>
      <c r="L167" s="19">
        <f ca="1">IF(All_Staff[[#This Row],[tunure in year]]&gt;3,3%,2%)*All_Staff[[#This Row],[Salary]]</f>
        <v>3383.4</v>
      </c>
      <c r="M167" s="9">
        <f>_xlfn.XLOOKUP(All_Staff[[#This Row],[Rating]],'Salary vs Rating.'!$B$3:$B$7,'Salary vs Rating.'!$C$3:$C$7)</f>
        <v>4</v>
      </c>
      <c r="N167" s="9"/>
      <c r="O167" s="9"/>
    </row>
    <row r="168" spans="1:15" x14ac:dyDescent="0.25">
      <c r="A168" s="7" t="s">
        <v>98</v>
      </c>
      <c r="B168" s="7" t="s">
        <v>15</v>
      </c>
      <c r="C168" s="7" t="s">
        <v>9</v>
      </c>
      <c r="D168" s="7">
        <v>27</v>
      </c>
      <c r="E168" s="8">
        <v>44609</v>
      </c>
      <c r="F168" s="7">
        <v>113280</v>
      </c>
      <c r="G168" s="7" t="s">
        <v>42</v>
      </c>
      <c r="H168" s="7" t="s">
        <v>205</v>
      </c>
      <c r="I168" s="8">
        <f ca="1">TODAY()</f>
        <v>45585</v>
      </c>
      <c r="J168" s="7">
        <f ca="1">All_Staff[[#This Row],[current date]]-All_Staff[[#This Row],[Date Joined]]</f>
        <v>976</v>
      </c>
      <c r="K168" s="9">
        <f ca="1">All_Staff[[#This Row],[tunure]]/365</f>
        <v>2.6739726027397261</v>
      </c>
      <c r="L168" s="19">
        <f ca="1">IF(All_Staff[[#This Row],[tunure in year]]&gt;3,3%,2%)*All_Staff[[#This Row],[Salary]]</f>
        <v>2265.6</v>
      </c>
      <c r="M168" s="9">
        <f>_xlfn.XLOOKUP(All_Staff[[#This Row],[Rating]],'Salary vs Rating.'!$B$3:$B$7,'Salary vs Rating.'!$C$3:$C$7)</f>
        <v>1</v>
      </c>
      <c r="N168" s="9"/>
      <c r="O168" s="9"/>
    </row>
    <row r="169" spans="1:15" x14ac:dyDescent="0.25">
      <c r="A169" s="7" t="s">
        <v>191</v>
      </c>
      <c r="B169" s="7" t="s">
        <v>15</v>
      </c>
      <c r="C169" s="7" t="s">
        <v>9</v>
      </c>
      <c r="D169" s="7">
        <v>27</v>
      </c>
      <c r="E169" s="8">
        <v>44547</v>
      </c>
      <c r="F169" s="7">
        <v>113280</v>
      </c>
      <c r="G169" s="7" t="s">
        <v>42</v>
      </c>
      <c r="H169" s="7" t="s">
        <v>207</v>
      </c>
      <c r="I169" s="8">
        <f ca="1">TODAY()</f>
        <v>45585</v>
      </c>
      <c r="J169" s="7">
        <f ca="1">All_Staff[[#This Row],[current date]]-All_Staff[[#This Row],[Date Joined]]</f>
        <v>1038</v>
      </c>
      <c r="K169" s="9">
        <f ca="1">All_Staff[[#This Row],[tunure]]/365</f>
        <v>2.8438356164383563</v>
      </c>
      <c r="L169" s="19">
        <f ca="1">IF(All_Staff[[#This Row],[tunure in year]]&gt;3,3%,2%)*All_Staff[[#This Row],[Salary]]</f>
        <v>2265.6</v>
      </c>
      <c r="M169" s="9">
        <f>_xlfn.XLOOKUP(All_Staff[[#This Row],[Rating]],'Salary vs Rating.'!$B$3:$B$7,'Salary vs Rating.'!$C$3:$C$7)</f>
        <v>1</v>
      </c>
      <c r="N169" s="9"/>
      <c r="O169" s="9"/>
    </row>
    <row r="170" spans="1:15" x14ac:dyDescent="0.25">
      <c r="A170" s="7" t="s">
        <v>54</v>
      </c>
      <c r="B170" s="7" t="s">
        <v>8</v>
      </c>
      <c r="C170" s="7" t="s">
        <v>9</v>
      </c>
      <c r="D170" s="7">
        <v>30</v>
      </c>
      <c r="E170" s="8">
        <v>44850</v>
      </c>
      <c r="F170" s="7">
        <v>114180</v>
      </c>
      <c r="G170" s="7" t="s">
        <v>16</v>
      </c>
      <c r="H170" s="7" t="s">
        <v>205</v>
      </c>
      <c r="I170" s="8">
        <f ca="1">TODAY()</f>
        <v>45585</v>
      </c>
      <c r="J170" s="7">
        <f ca="1">All_Staff[[#This Row],[current date]]-All_Staff[[#This Row],[Date Joined]]</f>
        <v>735</v>
      </c>
      <c r="K170" s="9">
        <f ca="1">All_Staff[[#This Row],[tunure]]/365</f>
        <v>2.0136986301369864</v>
      </c>
      <c r="L170" s="19">
        <f ca="1">IF(All_Staff[[#This Row],[tunure in year]]&gt;3,3%,2%)*All_Staff[[#This Row],[Salary]]</f>
        <v>2283.6</v>
      </c>
      <c r="M170" s="9">
        <f>_xlfn.XLOOKUP(All_Staff[[#This Row],[Rating]],'Salary vs Rating.'!$B$3:$B$7,'Salary vs Rating.'!$C$3:$C$7)</f>
        <v>3</v>
      </c>
      <c r="N170" s="9"/>
      <c r="O170" s="9"/>
    </row>
    <row r="171" spans="1:15" x14ac:dyDescent="0.25">
      <c r="A171" s="7" t="s">
        <v>147</v>
      </c>
      <c r="B171" s="7" t="s">
        <v>8</v>
      </c>
      <c r="C171" s="7" t="s">
        <v>9</v>
      </c>
      <c r="D171" s="7">
        <v>30</v>
      </c>
      <c r="E171" s="8">
        <v>44789</v>
      </c>
      <c r="F171" s="7">
        <v>114180</v>
      </c>
      <c r="G171" s="7" t="s">
        <v>16</v>
      </c>
      <c r="H171" s="7" t="s">
        <v>207</v>
      </c>
      <c r="I171" s="8">
        <f ca="1">TODAY()</f>
        <v>45585</v>
      </c>
      <c r="J171" s="7">
        <f ca="1">All_Staff[[#This Row],[current date]]-All_Staff[[#This Row],[Date Joined]]</f>
        <v>796</v>
      </c>
      <c r="K171" s="9">
        <f ca="1">All_Staff[[#This Row],[tunure]]/365</f>
        <v>2.1808219178082191</v>
      </c>
      <c r="L171" s="19">
        <f ca="1">IF(All_Staff[[#This Row],[tunure in year]]&gt;3,3%,2%)*All_Staff[[#This Row],[Salary]]</f>
        <v>2283.6</v>
      </c>
      <c r="M171" s="9">
        <f>_xlfn.XLOOKUP(All_Staff[[#This Row],[Rating]],'Salary vs Rating.'!$B$3:$B$7,'Salary vs Rating.'!$C$3:$C$7)</f>
        <v>3</v>
      </c>
      <c r="N171" s="9"/>
      <c r="O171" s="9"/>
    </row>
    <row r="172" spans="1:15" x14ac:dyDescent="0.25">
      <c r="A172" s="7" t="s">
        <v>17</v>
      </c>
      <c r="B172" s="7" t="s">
        <v>8</v>
      </c>
      <c r="C172" s="7" t="s">
        <v>12</v>
      </c>
      <c r="D172" s="7">
        <v>43</v>
      </c>
      <c r="E172" s="8">
        <v>45045</v>
      </c>
      <c r="F172" s="7">
        <v>114870</v>
      </c>
      <c r="G172" s="7" t="s">
        <v>16</v>
      </c>
      <c r="H172" s="7" t="s">
        <v>205</v>
      </c>
      <c r="I172" s="8">
        <f ca="1">TODAY()</f>
        <v>45585</v>
      </c>
      <c r="J172" s="7">
        <f ca="1">All_Staff[[#This Row],[current date]]-All_Staff[[#This Row],[Date Joined]]</f>
        <v>540</v>
      </c>
      <c r="K172" s="9">
        <f ca="1">All_Staff[[#This Row],[tunure]]/365</f>
        <v>1.4794520547945205</v>
      </c>
      <c r="L172" s="19">
        <f ca="1">IF(All_Staff[[#This Row],[tunure in year]]&gt;3,3%,2%)*All_Staff[[#This Row],[Salary]]</f>
        <v>2297.4</v>
      </c>
      <c r="M172" s="9">
        <f>_xlfn.XLOOKUP(All_Staff[[#This Row],[Rating]],'Salary vs Rating.'!$B$3:$B$7,'Salary vs Rating.'!$C$3:$C$7)</f>
        <v>3</v>
      </c>
      <c r="N172" s="9"/>
      <c r="O172" s="9"/>
    </row>
    <row r="173" spans="1:15" x14ac:dyDescent="0.25">
      <c r="A173" s="7" t="s">
        <v>114</v>
      </c>
      <c r="B173" s="7" t="s">
        <v>8</v>
      </c>
      <c r="C173" s="7" t="s">
        <v>12</v>
      </c>
      <c r="D173" s="7">
        <v>44</v>
      </c>
      <c r="E173" s="8">
        <v>44985</v>
      </c>
      <c r="F173" s="7">
        <v>114870</v>
      </c>
      <c r="G173" s="7" t="s">
        <v>16</v>
      </c>
      <c r="H173" s="7" t="s">
        <v>207</v>
      </c>
      <c r="I173" s="8">
        <f ca="1">TODAY()</f>
        <v>45585</v>
      </c>
      <c r="J173" s="7">
        <f ca="1">All_Staff[[#This Row],[current date]]-All_Staff[[#This Row],[Date Joined]]</f>
        <v>600</v>
      </c>
      <c r="K173" s="9">
        <f ca="1">All_Staff[[#This Row],[tunure]]/365</f>
        <v>1.6438356164383561</v>
      </c>
      <c r="L173" s="19">
        <f ca="1">IF(All_Staff[[#This Row],[tunure in year]]&gt;3,3%,2%)*All_Staff[[#This Row],[Salary]]</f>
        <v>2297.4</v>
      </c>
      <c r="M173" s="9">
        <f>_xlfn.XLOOKUP(All_Staff[[#This Row],[Rating]],'Salary vs Rating.'!$B$3:$B$7,'Salary vs Rating.'!$C$3:$C$7)</f>
        <v>3</v>
      </c>
      <c r="N173" s="9"/>
      <c r="O173" s="9"/>
    </row>
    <row r="174" spans="1:15" x14ac:dyDescent="0.25">
      <c r="A174" s="7" t="s">
        <v>83</v>
      </c>
      <c r="B174" s="7" t="s">
        <v>8</v>
      </c>
      <c r="C174" s="7" t="s">
        <v>9</v>
      </c>
      <c r="D174" s="7">
        <v>36</v>
      </c>
      <c r="E174" s="8">
        <v>44085</v>
      </c>
      <c r="F174" s="7">
        <v>114890</v>
      </c>
      <c r="G174" s="7" t="s">
        <v>16</v>
      </c>
      <c r="H174" s="7" t="s">
        <v>205</v>
      </c>
      <c r="I174" s="8">
        <f ca="1">TODAY()</f>
        <v>45585</v>
      </c>
      <c r="J174" s="7">
        <f ca="1">All_Staff[[#This Row],[current date]]-All_Staff[[#This Row],[Date Joined]]</f>
        <v>1500</v>
      </c>
      <c r="K174" s="9">
        <f ca="1">All_Staff[[#This Row],[tunure]]/365</f>
        <v>4.1095890410958908</v>
      </c>
      <c r="L174" s="19">
        <f ca="1">IF(All_Staff[[#This Row],[tunure in year]]&gt;3,3%,2%)*All_Staff[[#This Row],[Salary]]</f>
        <v>3446.7</v>
      </c>
      <c r="M174" s="9">
        <f>_xlfn.XLOOKUP(All_Staff[[#This Row],[Rating]],'Salary vs Rating.'!$B$3:$B$7,'Salary vs Rating.'!$C$3:$C$7)</f>
        <v>3</v>
      </c>
      <c r="N174" s="9"/>
      <c r="O174" s="9"/>
    </row>
    <row r="175" spans="1:15" x14ac:dyDescent="0.25">
      <c r="A175" s="7" t="s">
        <v>175</v>
      </c>
      <c r="B175" s="7" t="s">
        <v>8</v>
      </c>
      <c r="C175" s="7" t="s">
        <v>9</v>
      </c>
      <c r="D175" s="7">
        <v>36</v>
      </c>
      <c r="E175" s="8">
        <v>44023</v>
      </c>
      <c r="F175" s="7">
        <v>114890</v>
      </c>
      <c r="G175" s="7" t="s">
        <v>16</v>
      </c>
      <c r="H175" s="7" t="s">
        <v>207</v>
      </c>
      <c r="I175" s="8">
        <f ca="1">TODAY()</f>
        <v>45585</v>
      </c>
      <c r="J175" s="7">
        <f ca="1">All_Staff[[#This Row],[current date]]-All_Staff[[#This Row],[Date Joined]]</f>
        <v>1562</v>
      </c>
      <c r="K175" s="9">
        <f ca="1">All_Staff[[#This Row],[tunure]]/365</f>
        <v>4.279452054794521</v>
      </c>
      <c r="L175" s="19">
        <f ca="1">IF(All_Staff[[#This Row],[tunure in year]]&gt;3,3%,2%)*All_Staff[[#This Row],[Salary]]</f>
        <v>3446.7</v>
      </c>
      <c r="M175" s="9">
        <f>_xlfn.XLOOKUP(All_Staff[[#This Row],[Rating]],'Salary vs Rating.'!$B$3:$B$7,'Salary vs Rating.'!$C$3:$C$7)</f>
        <v>3</v>
      </c>
      <c r="N175" s="9"/>
      <c r="O175" s="9"/>
    </row>
    <row r="176" spans="1:15" x14ac:dyDescent="0.25">
      <c r="A176" s="7" t="s">
        <v>49</v>
      </c>
      <c r="B176" s="7" t="s">
        <v>206</v>
      </c>
      <c r="C176" s="7" t="s">
        <v>21</v>
      </c>
      <c r="D176" s="7">
        <v>37</v>
      </c>
      <c r="E176" s="8">
        <v>44146</v>
      </c>
      <c r="F176" s="7">
        <v>115440</v>
      </c>
      <c r="G176" s="7" t="s">
        <v>24</v>
      </c>
      <c r="H176" s="7" t="s">
        <v>205</v>
      </c>
      <c r="I176" s="8">
        <f ca="1">TODAY()</f>
        <v>45585</v>
      </c>
      <c r="J176" s="7">
        <f ca="1">All_Staff[[#This Row],[current date]]-All_Staff[[#This Row],[Date Joined]]</f>
        <v>1439</v>
      </c>
      <c r="K176" s="9">
        <f ca="1">All_Staff[[#This Row],[tunure]]/365</f>
        <v>3.9424657534246577</v>
      </c>
      <c r="L176" s="19">
        <f ca="1">IF(All_Staff[[#This Row],[tunure in year]]&gt;3,3%,2%)*All_Staff[[#This Row],[Salary]]</f>
        <v>3463.2</v>
      </c>
      <c r="M176" s="9">
        <f>_xlfn.XLOOKUP(All_Staff[[#This Row],[Rating]],'Salary vs Rating.'!$B$3:$B$7,'Salary vs Rating.'!$C$3:$C$7)</f>
        <v>2</v>
      </c>
      <c r="N176" s="9"/>
      <c r="O176" s="9"/>
    </row>
    <row r="177" spans="1:15" x14ac:dyDescent="0.25">
      <c r="A177" s="7" t="s">
        <v>142</v>
      </c>
      <c r="B177" s="7" t="s">
        <v>206</v>
      </c>
      <c r="C177" s="7" t="s">
        <v>21</v>
      </c>
      <c r="D177" s="7">
        <v>37</v>
      </c>
      <c r="E177" s="8">
        <v>44085</v>
      </c>
      <c r="F177" s="7">
        <v>115440</v>
      </c>
      <c r="G177" s="7" t="s">
        <v>24</v>
      </c>
      <c r="H177" s="7" t="s">
        <v>207</v>
      </c>
      <c r="I177" s="8">
        <f ca="1">TODAY()</f>
        <v>45585</v>
      </c>
      <c r="J177" s="7">
        <f ca="1">All_Staff[[#This Row],[current date]]-All_Staff[[#This Row],[Date Joined]]</f>
        <v>1500</v>
      </c>
      <c r="K177" s="9">
        <f ca="1">All_Staff[[#This Row],[tunure]]/365</f>
        <v>4.1095890410958908</v>
      </c>
      <c r="L177" s="19">
        <f ca="1">IF(All_Staff[[#This Row],[tunure in year]]&gt;3,3%,2%)*All_Staff[[#This Row],[Salary]]</f>
        <v>3463.2</v>
      </c>
      <c r="M177" s="9">
        <f>_xlfn.XLOOKUP(All_Staff[[#This Row],[Rating]],'Salary vs Rating.'!$B$3:$B$7,'Salary vs Rating.'!$C$3:$C$7)</f>
        <v>2</v>
      </c>
      <c r="N177" s="9"/>
      <c r="O177" s="9"/>
    </row>
    <row r="178" spans="1:15" x14ac:dyDescent="0.25">
      <c r="A178" s="7" t="s">
        <v>40</v>
      </c>
      <c r="B178" s="7" t="s">
        <v>15</v>
      </c>
      <c r="C178" s="7" t="s">
        <v>9</v>
      </c>
      <c r="D178" s="7">
        <v>33</v>
      </c>
      <c r="E178" s="8">
        <v>44164</v>
      </c>
      <c r="F178" s="7">
        <v>115920</v>
      </c>
      <c r="G178" s="7" t="s">
        <v>16</v>
      </c>
      <c r="H178" s="7" t="s">
        <v>205</v>
      </c>
      <c r="I178" s="8">
        <f ca="1">TODAY()</f>
        <v>45585</v>
      </c>
      <c r="J178" s="7">
        <f ca="1">All_Staff[[#This Row],[current date]]-All_Staff[[#This Row],[Date Joined]]</f>
        <v>1421</v>
      </c>
      <c r="K178" s="9">
        <f ca="1">All_Staff[[#This Row],[tunure]]/365</f>
        <v>3.893150684931507</v>
      </c>
      <c r="L178" s="19">
        <f ca="1">IF(All_Staff[[#This Row],[tunure in year]]&gt;3,3%,2%)*All_Staff[[#This Row],[Salary]]</f>
        <v>3477.6</v>
      </c>
      <c r="M178" s="9">
        <f>_xlfn.XLOOKUP(All_Staff[[#This Row],[Rating]],'Salary vs Rating.'!$B$3:$B$7,'Salary vs Rating.'!$C$3:$C$7)</f>
        <v>3</v>
      </c>
      <c r="N178" s="9"/>
      <c r="O178" s="9"/>
    </row>
    <row r="179" spans="1:15" x14ac:dyDescent="0.25">
      <c r="A179" s="7" t="s">
        <v>134</v>
      </c>
      <c r="B179" s="7" t="s">
        <v>15</v>
      </c>
      <c r="C179" s="7" t="s">
        <v>9</v>
      </c>
      <c r="D179" s="7">
        <v>33</v>
      </c>
      <c r="E179" s="8">
        <v>44103</v>
      </c>
      <c r="F179" s="7">
        <v>115920</v>
      </c>
      <c r="G179" s="7" t="s">
        <v>16</v>
      </c>
      <c r="H179" s="7" t="s">
        <v>207</v>
      </c>
      <c r="I179" s="8">
        <f ca="1">TODAY()</f>
        <v>45585</v>
      </c>
      <c r="J179" s="7">
        <f ca="1">All_Staff[[#This Row],[current date]]-All_Staff[[#This Row],[Date Joined]]</f>
        <v>1482</v>
      </c>
      <c r="K179" s="9">
        <f ca="1">All_Staff[[#This Row],[tunure]]/365</f>
        <v>4.0602739726027401</v>
      </c>
      <c r="L179" s="19">
        <f ca="1">IF(All_Staff[[#This Row],[tunure in year]]&gt;3,3%,2%)*All_Staff[[#This Row],[Salary]]</f>
        <v>3477.6</v>
      </c>
      <c r="M179" s="9">
        <f>_xlfn.XLOOKUP(All_Staff[[#This Row],[Rating]],'Salary vs Rating.'!$B$3:$B$7,'Salary vs Rating.'!$C$3:$C$7)</f>
        <v>3</v>
      </c>
      <c r="N179" s="9"/>
      <c r="O179" s="9"/>
    </row>
    <row r="180" spans="1:15" x14ac:dyDescent="0.25">
      <c r="A180" s="7" t="s">
        <v>55</v>
      </c>
      <c r="B180" s="7" t="s">
        <v>8</v>
      </c>
      <c r="C180" s="7" t="s">
        <v>56</v>
      </c>
      <c r="D180" s="7">
        <v>37</v>
      </c>
      <c r="E180" s="8">
        <v>44451</v>
      </c>
      <c r="F180" s="7">
        <v>118100</v>
      </c>
      <c r="G180" s="7" t="s">
        <v>16</v>
      </c>
      <c r="H180" s="7" t="s">
        <v>205</v>
      </c>
      <c r="I180" s="8">
        <f ca="1">TODAY()</f>
        <v>45585</v>
      </c>
      <c r="J180" s="7">
        <f ca="1">All_Staff[[#This Row],[current date]]-All_Staff[[#This Row],[Date Joined]]</f>
        <v>1134</v>
      </c>
      <c r="K180" s="9">
        <f ca="1">All_Staff[[#This Row],[tunure]]/365</f>
        <v>3.106849315068493</v>
      </c>
      <c r="L180" s="19">
        <f ca="1">IF(All_Staff[[#This Row],[tunure in year]]&gt;3,3%,2%)*All_Staff[[#This Row],[Salary]]</f>
        <v>3543</v>
      </c>
      <c r="M180" s="9">
        <f>_xlfn.XLOOKUP(All_Staff[[#This Row],[Rating]],'Salary vs Rating.'!$B$3:$B$7,'Salary vs Rating.'!$C$3:$C$7)</f>
        <v>3</v>
      </c>
      <c r="N180" s="9"/>
      <c r="O180" s="9"/>
    </row>
    <row r="181" spans="1:15" x14ac:dyDescent="0.25">
      <c r="A181" s="7" t="s">
        <v>148</v>
      </c>
      <c r="B181" s="7" t="s">
        <v>8</v>
      </c>
      <c r="C181" s="7" t="s">
        <v>56</v>
      </c>
      <c r="D181" s="7">
        <v>37</v>
      </c>
      <c r="E181" s="8">
        <v>44389</v>
      </c>
      <c r="F181" s="7">
        <v>118100</v>
      </c>
      <c r="G181" s="7" t="s">
        <v>16</v>
      </c>
      <c r="H181" s="7" t="s">
        <v>207</v>
      </c>
      <c r="I181" s="8">
        <f ca="1">TODAY()</f>
        <v>45585</v>
      </c>
      <c r="J181" s="7">
        <f ca="1">All_Staff[[#This Row],[current date]]-All_Staff[[#This Row],[Date Joined]]</f>
        <v>1196</v>
      </c>
      <c r="K181" s="9">
        <f ca="1">All_Staff[[#This Row],[tunure]]/365</f>
        <v>3.2767123287671232</v>
      </c>
      <c r="L181" s="19">
        <f ca="1">IF(All_Staff[[#This Row],[tunure in year]]&gt;3,3%,2%)*All_Staff[[#This Row],[Salary]]</f>
        <v>3543</v>
      </c>
      <c r="M181" s="9">
        <f>_xlfn.XLOOKUP(All_Staff[[#This Row],[Rating]],'Salary vs Rating.'!$B$3:$B$7,'Salary vs Rating.'!$C$3:$C$7)</f>
        <v>3</v>
      </c>
      <c r="N181" s="9"/>
      <c r="O181" s="9"/>
    </row>
    <row r="182" spans="1:15" x14ac:dyDescent="0.25">
      <c r="A182" s="7" t="s">
        <v>106</v>
      </c>
      <c r="B182" s="7" t="s">
        <v>15</v>
      </c>
      <c r="C182" s="7" t="s">
        <v>12</v>
      </c>
      <c r="D182" s="7">
        <v>36</v>
      </c>
      <c r="E182" s="8">
        <v>44019</v>
      </c>
      <c r="F182" s="7">
        <v>118840</v>
      </c>
      <c r="G182" s="7" t="s">
        <v>16</v>
      </c>
      <c r="H182" s="7" t="s">
        <v>205</v>
      </c>
      <c r="I182" s="8">
        <f ca="1">TODAY()</f>
        <v>45585</v>
      </c>
      <c r="J182" s="7">
        <f ca="1">All_Staff[[#This Row],[current date]]-All_Staff[[#This Row],[Date Joined]]</f>
        <v>1566</v>
      </c>
      <c r="K182" s="9">
        <f ca="1">All_Staff[[#This Row],[tunure]]/365</f>
        <v>4.2904109589041095</v>
      </c>
      <c r="L182" s="19">
        <f ca="1">IF(All_Staff[[#This Row],[tunure in year]]&gt;3,3%,2%)*All_Staff[[#This Row],[Salary]]</f>
        <v>3565.2</v>
      </c>
      <c r="M182" s="9">
        <f>_xlfn.XLOOKUP(All_Staff[[#This Row],[Rating]],'Salary vs Rating.'!$B$3:$B$7,'Salary vs Rating.'!$C$3:$C$7)</f>
        <v>3</v>
      </c>
      <c r="N182" s="9"/>
      <c r="O182" s="9"/>
    </row>
    <row r="183" spans="1:15" x14ac:dyDescent="0.25">
      <c r="A183" s="7" t="s">
        <v>199</v>
      </c>
      <c r="B183" s="7" t="s">
        <v>15</v>
      </c>
      <c r="C183" s="7" t="s">
        <v>12</v>
      </c>
      <c r="D183" s="7">
        <v>36</v>
      </c>
      <c r="E183" s="8">
        <v>43958</v>
      </c>
      <c r="F183" s="7">
        <v>118840</v>
      </c>
      <c r="G183" s="7" t="s">
        <v>16</v>
      </c>
      <c r="H183" s="7" t="s">
        <v>207</v>
      </c>
      <c r="I183" s="8">
        <f ca="1">TODAY()</f>
        <v>45585</v>
      </c>
      <c r="J183" s="7">
        <f ca="1">All_Staff[[#This Row],[current date]]-All_Staff[[#This Row],[Date Joined]]</f>
        <v>1627</v>
      </c>
      <c r="K183" s="9">
        <f ca="1">All_Staff[[#This Row],[tunure]]/365</f>
        <v>4.4575342465753423</v>
      </c>
      <c r="L183" s="19">
        <f ca="1">IF(All_Staff[[#This Row],[tunure in year]]&gt;3,3%,2%)*All_Staff[[#This Row],[Salary]]</f>
        <v>3565.2</v>
      </c>
      <c r="M183" s="9">
        <f>_xlfn.XLOOKUP(All_Staff[[#This Row],[Rating]],'Salary vs Rating.'!$B$3:$B$7,'Salary vs Rating.'!$C$3:$C$7)</f>
        <v>3</v>
      </c>
      <c r="N183" s="9"/>
      <c r="O183" s="9"/>
    </row>
    <row r="184" spans="1:15" x14ac:dyDescent="0.25">
      <c r="A184" s="7" t="s">
        <v>60</v>
      </c>
      <c r="B184" s="7" t="s">
        <v>8</v>
      </c>
      <c r="C184" s="7" t="s">
        <v>56</v>
      </c>
      <c r="D184" s="7">
        <v>27</v>
      </c>
      <c r="E184" s="8">
        <v>44122</v>
      </c>
      <c r="F184" s="7">
        <v>119110</v>
      </c>
      <c r="G184" s="7" t="s">
        <v>16</v>
      </c>
      <c r="H184" s="7" t="s">
        <v>205</v>
      </c>
      <c r="I184" s="8">
        <f ca="1">TODAY()</f>
        <v>45585</v>
      </c>
      <c r="J184" s="7">
        <f ca="1">All_Staff[[#This Row],[current date]]-All_Staff[[#This Row],[Date Joined]]</f>
        <v>1463</v>
      </c>
      <c r="K184" s="9">
        <f ca="1">All_Staff[[#This Row],[tunure]]/365</f>
        <v>4.0082191780821921</v>
      </c>
      <c r="L184" s="19">
        <f ca="1">IF(All_Staff[[#This Row],[tunure in year]]&gt;3,3%,2%)*All_Staff[[#This Row],[Salary]]</f>
        <v>3573.2999999999997</v>
      </c>
      <c r="M184" s="9">
        <f>_xlfn.XLOOKUP(All_Staff[[#This Row],[Rating]],'Salary vs Rating.'!$B$3:$B$7,'Salary vs Rating.'!$C$3:$C$7)</f>
        <v>3</v>
      </c>
      <c r="N184" s="9"/>
      <c r="O184" s="9"/>
    </row>
    <row r="185" spans="1:15" x14ac:dyDescent="0.25">
      <c r="A185" s="7" t="s">
        <v>152</v>
      </c>
      <c r="B185" s="7" t="s">
        <v>8</v>
      </c>
      <c r="C185" s="7" t="s">
        <v>56</v>
      </c>
      <c r="D185" s="7">
        <v>27</v>
      </c>
      <c r="E185" s="8">
        <v>44061</v>
      </c>
      <c r="F185" s="7">
        <v>119110</v>
      </c>
      <c r="G185" s="7" t="s">
        <v>16</v>
      </c>
      <c r="H185" s="7" t="s">
        <v>207</v>
      </c>
      <c r="I185" s="8">
        <f ca="1">TODAY()</f>
        <v>45585</v>
      </c>
      <c r="J185" s="7">
        <f ca="1">All_Staff[[#This Row],[current date]]-All_Staff[[#This Row],[Date Joined]]</f>
        <v>1524</v>
      </c>
      <c r="K185" s="9">
        <f ca="1">All_Staff[[#This Row],[tunure]]/365</f>
        <v>4.1753424657534248</v>
      </c>
      <c r="L185" s="19">
        <f ca="1">IF(All_Staff[[#This Row],[tunure in year]]&gt;3,3%,2%)*All_Staff[[#This Row],[Salary]]</f>
        <v>3573.2999999999997</v>
      </c>
      <c r="M185" s="9">
        <f>_xlfn.XLOOKUP(All_Staff[[#This Row],[Rating]],'Salary vs Rating.'!$B$3:$B$7,'Salary vs Rating.'!$C$3:$C$7)</f>
        <v>3</v>
      </c>
      <c r="N185" s="9"/>
      <c r="O185" s="9"/>
    </row>
    <row r="186" spans="1:15" x14ac:dyDescent="0.25">
      <c r="K186"/>
      <c r="M186"/>
      <c r="N186"/>
      <c r="O186"/>
    </row>
    <row r="187" spans="1:15" x14ac:dyDescent="0.25">
      <c r="K187"/>
      <c r="M187"/>
      <c r="N187"/>
      <c r="O187"/>
    </row>
    <row r="188" spans="1:15" x14ac:dyDescent="0.25">
      <c r="K188"/>
      <c r="M188"/>
      <c r="N188"/>
      <c r="O188"/>
    </row>
    <row r="189" spans="1:15" x14ac:dyDescent="0.25">
      <c r="K189"/>
      <c r="M189"/>
      <c r="N189"/>
      <c r="O189"/>
    </row>
    <row r="190" spans="1:15" x14ac:dyDescent="0.25">
      <c r="K190"/>
      <c r="M190"/>
      <c r="N190"/>
      <c r="O190"/>
    </row>
    <row r="191" spans="1:15" x14ac:dyDescent="0.25">
      <c r="K191"/>
      <c r="M191"/>
      <c r="N191"/>
      <c r="O191"/>
    </row>
    <row r="192" spans="1:15" x14ac:dyDescent="0.25">
      <c r="K192"/>
      <c r="M192"/>
      <c r="N192"/>
      <c r="O192"/>
    </row>
    <row r="193" spans="12:12" customFormat="1" x14ac:dyDescent="0.25">
      <c r="L193" s="15"/>
    </row>
    <row r="194" spans="12:12" customFormat="1" x14ac:dyDescent="0.25">
      <c r="L194" s="15"/>
    </row>
    <row r="195" spans="12:12" customFormat="1" x14ac:dyDescent="0.25">
      <c r="L195" s="15"/>
    </row>
    <row r="196" spans="12:12" customFormat="1" x14ac:dyDescent="0.25">
      <c r="L196" s="15"/>
    </row>
    <row r="197" spans="12:12" customFormat="1" x14ac:dyDescent="0.25">
      <c r="L197" s="15"/>
    </row>
    <row r="198" spans="12:12" customFormat="1" x14ac:dyDescent="0.25">
      <c r="L198" s="15"/>
    </row>
    <row r="199" spans="12:12" customFormat="1" x14ac:dyDescent="0.25">
      <c r="L199" s="15"/>
    </row>
    <row r="200" spans="12:12" customFormat="1" x14ac:dyDescent="0.25">
      <c r="L200" s="15"/>
    </row>
    <row r="201" spans="12:12" customFormat="1" x14ac:dyDescent="0.25">
      <c r="L201" s="15"/>
    </row>
    <row r="202" spans="12:12" customFormat="1" x14ac:dyDescent="0.25">
      <c r="L202" s="15"/>
    </row>
    <row r="203" spans="12:12" customFormat="1" x14ac:dyDescent="0.25">
      <c r="L203" s="15"/>
    </row>
    <row r="204" spans="12:12" customFormat="1" x14ac:dyDescent="0.25">
      <c r="L204" s="15"/>
    </row>
    <row r="205" spans="12:12" customFormat="1" x14ac:dyDescent="0.25">
      <c r="L205" s="15"/>
    </row>
    <row r="206" spans="12:12" customFormat="1" x14ac:dyDescent="0.25">
      <c r="L206" s="15"/>
    </row>
    <row r="207" spans="12:12" customFormat="1" x14ac:dyDescent="0.25">
      <c r="L207" s="15"/>
    </row>
    <row r="208" spans="12:12" customFormat="1" x14ac:dyDescent="0.25">
      <c r="L208" s="15"/>
    </row>
    <row r="209" spans="12:12" customFormat="1" x14ac:dyDescent="0.25">
      <c r="L209" s="15"/>
    </row>
    <row r="210" spans="12:12" customFormat="1" x14ac:dyDescent="0.25">
      <c r="L210" s="15"/>
    </row>
    <row r="211" spans="12:12" customFormat="1" x14ac:dyDescent="0.25">
      <c r="L211" s="15"/>
    </row>
    <row r="212" spans="12:12" customFormat="1" x14ac:dyDescent="0.25">
      <c r="L212" s="15"/>
    </row>
    <row r="213" spans="12:12" customFormat="1" x14ac:dyDescent="0.25">
      <c r="L213" s="15"/>
    </row>
  </sheetData>
  <conditionalFormatting sqref="A1:A185 A214:A1048576">
    <cfRule type="duplicateValues" dxfId="8" priority="2"/>
  </conditionalFormatting>
  <conditionalFormatting sqref="A1:H185">
    <cfRule type="duplicateValues" dxfId="7" priority="3"/>
  </conditionalFormatting>
  <conditionalFormatting sqref="F2:F185">
    <cfRule type="colorScale" priority="1">
      <colorScale>
        <cfvo type="min"/>
        <cfvo type="percentile" val="50"/>
        <cfvo type="max"/>
        <color rgb="FF5A8AC6"/>
        <color rgb="FFFCFCFF"/>
        <color rgb="FFF8696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AA988-D7E1-4A34-9831-17E7E2B14C36}">
  <sheetPr>
    <tabColor rgb="FF002060"/>
  </sheetPr>
  <dimension ref="A3:C9"/>
  <sheetViews>
    <sheetView workbookViewId="0">
      <selection activeCell="A4" sqref="A4:A8"/>
    </sheetView>
  </sheetViews>
  <sheetFormatPr defaultRowHeight="15" x14ac:dyDescent="0.25"/>
  <cols>
    <col min="1" max="1" width="14.28515625" bestFit="1" customWidth="1"/>
    <col min="2" max="2" width="14.42578125" bestFit="1" customWidth="1"/>
    <col min="3" max="3" width="16.42578125" bestFit="1" customWidth="1"/>
  </cols>
  <sheetData>
    <row r="3" spans="1:3" x14ac:dyDescent="0.25">
      <c r="A3" s="13" t="s">
        <v>224</v>
      </c>
      <c r="B3" t="s">
        <v>228</v>
      </c>
      <c r="C3" t="s">
        <v>231</v>
      </c>
    </row>
    <row r="4" spans="1:3" x14ac:dyDescent="0.25">
      <c r="A4" s="14" t="s">
        <v>10</v>
      </c>
      <c r="B4" s="15">
        <v>4</v>
      </c>
      <c r="C4" s="17">
        <v>92080</v>
      </c>
    </row>
    <row r="5" spans="1:3" x14ac:dyDescent="0.25">
      <c r="A5" s="14" t="s">
        <v>13</v>
      </c>
      <c r="B5" s="15">
        <v>20</v>
      </c>
      <c r="C5" s="17">
        <v>75933</v>
      </c>
    </row>
    <row r="6" spans="1:3" x14ac:dyDescent="0.25">
      <c r="A6" s="14" t="s">
        <v>16</v>
      </c>
      <c r="B6" s="15">
        <v>138</v>
      </c>
      <c r="C6" s="17">
        <v>77058.55072463768</v>
      </c>
    </row>
    <row r="7" spans="1:3" x14ac:dyDescent="0.25">
      <c r="A7" s="14" t="s">
        <v>24</v>
      </c>
      <c r="B7" s="15">
        <v>16</v>
      </c>
      <c r="C7" s="17">
        <v>78115</v>
      </c>
    </row>
    <row r="8" spans="1:3" x14ac:dyDescent="0.25">
      <c r="A8" s="14" t="s">
        <v>42</v>
      </c>
      <c r="B8" s="15">
        <v>6</v>
      </c>
      <c r="C8" s="17">
        <v>77423.333333333328</v>
      </c>
    </row>
    <row r="9" spans="1:3" x14ac:dyDescent="0.25">
      <c r="A9" s="14" t="s">
        <v>225</v>
      </c>
      <c r="B9" s="15">
        <v>184</v>
      </c>
      <c r="C9" s="17">
        <v>77366.521739130432</v>
      </c>
    </row>
  </sheetData>
  <conditionalFormatting pivot="1" sqref="C4:C8">
    <cfRule type="dataBar" priority="1">
      <dataBar>
        <cfvo type="min"/>
        <cfvo type="max"/>
        <color rgb="FF638EC6"/>
      </dataBar>
      <extLst>
        <ext xmlns:x14="http://schemas.microsoft.com/office/spreadsheetml/2009/9/main" uri="{B025F937-C7B1-47D3-B67F-A62EFF666E3E}">
          <x14:id>{EF6D7E2A-1FCD-45F2-8597-5F991AD845E2}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F6D7E2A-1FCD-45F2-8597-5F991AD845E2}">
            <x14:dataBar minLength="0" maxLength="100" border="1" negativeBarBorderColorSameAsPositive="0">
              <x14:cfvo type="autoMin"/>
              <x14:cfvo type="autoMax"/>
              <x14:borderColor rgb="FF638EC6"/>
              <x14:negativeFillColor rgb="FFFF0000"/>
              <x14:negativeBorderColor rgb="FFFF0000"/>
              <x14:axisColor rgb="FF000000"/>
            </x14:dataBar>
          </x14:cfRule>
          <xm:sqref>C4:C8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3F5A3-C5FB-4868-A29C-9BB1DD3D9D60}">
  <sheetPr>
    <tabColor rgb="FF0070C0"/>
  </sheetPr>
  <dimension ref="B3:C8"/>
  <sheetViews>
    <sheetView workbookViewId="0">
      <selection activeCell="M6" sqref="M6"/>
    </sheetView>
  </sheetViews>
  <sheetFormatPr defaultRowHeight="15" x14ac:dyDescent="0.25"/>
  <cols>
    <col min="2" max="2" width="17" customWidth="1"/>
    <col min="3" max="3" width="13.140625" customWidth="1"/>
  </cols>
  <sheetData>
    <row r="3" spans="2:3" ht="23.25" customHeight="1" x14ac:dyDescent="0.25">
      <c r="B3" s="20" t="s">
        <v>10</v>
      </c>
      <c r="C3" s="20">
        <v>5</v>
      </c>
    </row>
    <row r="4" spans="2:3" ht="21.75" customHeight="1" x14ac:dyDescent="0.25">
      <c r="B4" s="20" t="s">
        <v>13</v>
      </c>
      <c r="C4" s="20">
        <v>4</v>
      </c>
    </row>
    <row r="5" spans="2:3" ht="17.25" customHeight="1" x14ac:dyDescent="0.25">
      <c r="B5" s="20" t="s">
        <v>16</v>
      </c>
      <c r="C5" s="20">
        <v>3</v>
      </c>
    </row>
    <row r="6" spans="2:3" ht="20.25" customHeight="1" x14ac:dyDescent="0.25">
      <c r="B6" s="20" t="s">
        <v>24</v>
      </c>
      <c r="C6" s="20">
        <v>2</v>
      </c>
    </row>
    <row r="7" spans="2:3" ht="17.25" customHeight="1" x14ac:dyDescent="0.25">
      <c r="B7" s="20" t="s">
        <v>42</v>
      </c>
      <c r="C7" s="20">
        <v>1</v>
      </c>
    </row>
    <row r="8" spans="2:3" x14ac:dyDescent="0.25">
      <c r="B8" s="7"/>
      <c r="C8"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3BB9-D0B2-4C64-8856-9898E201B26C}">
  <sheetPr>
    <tabColor rgb="FFC00000"/>
  </sheetPr>
  <dimension ref="B4:C9"/>
  <sheetViews>
    <sheetView workbookViewId="0">
      <selection activeCell="M9" sqref="M9"/>
    </sheetView>
  </sheetViews>
  <sheetFormatPr defaultRowHeight="15" x14ac:dyDescent="0.25"/>
  <cols>
    <col min="2" max="2" width="13.140625" bestFit="1" customWidth="1"/>
    <col min="3" max="3" width="14.42578125" bestFit="1" customWidth="1"/>
    <col min="4" max="6" width="9.7109375" bestFit="1" customWidth="1"/>
    <col min="7" max="7" width="8.7109375" bestFit="1" customWidth="1"/>
    <col min="8" max="18" width="9.7109375" bestFit="1" customWidth="1"/>
    <col min="19" max="23" width="10.7109375" bestFit="1" customWidth="1"/>
    <col min="24" max="24" width="9.7109375" bestFit="1" customWidth="1"/>
    <col min="25" max="28" width="10.7109375" bestFit="1" customWidth="1"/>
    <col min="29" max="29" width="9.7109375" bestFit="1" customWidth="1"/>
    <col min="30" max="34" width="10.7109375" bestFit="1" customWidth="1"/>
    <col min="35" max="36" width="8.7109375" bestFit="1" customWidth="1"/>
    <col min="37" max="40" width="9.7109375" bestFit="1" customWidth="1"/>
    <col min="41" max="41" width="8.7109375" bestFit="1" customWidth="1"/>
    <col min="42" max="44" width="9.7109375" bestFit="1" customWidth="1"/>
    <col min="45" max="46" width="8.7109375" bestFit="1" customWidth="1"/>
    <col min="47" max="52" width="9.7109375" bestFit="1" customWidth="1"/>
    <col min="53" max="53" width="8.7109375" bestFit="1" customWidth="1"/>
    <col min="54" max="57" width="9.7109375" bestFit="1" customWidth="1"/>
    <col min="58" max="61" width="8.7109375" bestFit="1" customWidth="1"/>
    <col min="62" max="67" width="9.7109375" bestFit="1" customWidth="1"/>
    <col min="68" max="69" width="8.7109375" bestFit="1" customWidth="1"/>
    <col min="70" max="73" width="9.7109375" bestFit="1" customWidth="1"/>
    <col min="74" max="78" width="8.7109375" bestFit="1" customWidth="1"/>
    <col min="79" max="83" width="9.7109375" bestFit="1" customWidth="1"/>
    <col min="84" max="84" width="8.7109375" bestFit="1" customWidth="1"/>
    <col min="85" max="87" width="9.7109375" bestFit="1" customWidth="1"/>
    <col min="88" max="91" width="8.7109375" bestFit="1" customWidth="1"/>
    <col min="92" max="97" width="9.7109375" bestFit="1" customWidth="1"/>
    <col min="98" max="99" width="10.7109375" bestFit="1" customWidth="1"/>
    <col min="100" max="101" width="9.7109375" bestFit="1" customWidth="1"/>
    <col min="102" max="103" width="10.7109375" bestFit="1" customWidth="1"/>
    <col min="104" max="105" width="9.7109375" bestFit="1" customWidth="1"/>
    <col min="106" max="110" width="10.7109375" bestFit="1" customWidth="1"/>
    <col min="111" max="111" width="8.7109375" bestFit="1" customWidth="1"/>
    <col min="112" max="113" width="9.7109375" bestFit="1" customWidth="1"/>
    <col min="114" max="115" width="8.7109375" bestFit="1" customWidth="1"/>
    <col min="116" max="123" width="9.7109375" bestFit="1" customWidth="1"/>
    <col min="124" max="124" width="8.7109375" bestFit="1" customWidth="1"/>
    <col min="125" max="129" width="9.7109375" bestFit="1" customWidth="1"/>
    <col min="130" max="131" width="8.7109375" bestFit="1" customWidth="1"/>
    <col min="132" max="136" width="9.7109375" bestFit="1" customWidth="1"/>
    <col min="137" max="138" width="8.7109375" bestFit="1" customWidth="1"/>
    <col min="139" max="142" width="9.7109375" bestFit="1" customWidth="1"/>
    <col min="143" max="145" width="8.7109375" bestFit="1" customWidth="1"/>
    <col min="146" max="149" width="9.7109375" bestFit="1" customWidth="1"/>
    <col min="150" max="151" width="8.7109375" bestFit="1" customWidth="1"/>
    <col min="152" max="153" width="9.7109375" bestFit="1" customWidth="1"/>
    <col min="154" max="155" width="8.7109375" bestFit="1" customWidth="1"/>
    <col min="156" max="157" width="9.7109375" bestFit="1" customWidth="1"/>
    <col min="158" max="158" width="8.7109375" bestFit="1" customWidth="1"/>
    <col min="159" max="159" width="9.7109375" bestFit="1" customWidth="1"/>
    <col min="160" max="161" width="10.7109375" bestFit="1" customWidth="1"/>
    <col min="162" max="163" width="9.7109375" bestFit="1" customWidth="1"/>
    <col min="164" max="164" width="11.28515625" bestFit="1" customWidth="1"/>
  </cols>
  <sheetData>
    <row r="4" spans="2:3" x14ac:dyDescent="0.25">
      <c r="B4" s="13" t="s">
        <v>224</v>
      </c>
      <c r="C4" t="s">
        <v>228</v>
      </c>
    </row>
    <row r="5" spans="2:3" x14ac:dyDescent="0.25">
      <c r="B5" s="14" t="s">
        <v>234</v>
      </c>
      <c r="C5" s="15">
        <v>37</v>
      </c>
    </row>
    <row r="6" spans="2:3" x14ac:dyDescent="0.25">
      <c r="B6" s="14" t="s">
        <v>235</v>
      </c>
      <c r="C6" s="15">
        <v>82</v>
      </c>
    </row>
    <row r="7" spans="2:3" x14ac:dyDescent="0.25">
      <c r="B7" s="14" t="s">
        <v>236</v>
      </c>
      <c r="C7" s="15">
        <v>63</v>
      </c>
    </row>
    <row r="8" spans="2:3" x14ac:dyDescent="0.25">
      <c r="B8" s="14" t="s">
        <v>237</v>
      </c>
      <c r="C8" s="15">
        <v>2</v>
      </c>
    </row>
    <row r="9" spans="2:3" x14ac:dyDescent="0.25">
      <c r="B9" s="14" t="s">
        <v>225</v>
      </c>
      <c r="C9" s="15">
        <v>184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45C7-9071-43AB-AE28-EBC7B41B519F}">
  <sheetPr>
    <tabColor rgb="FFFFC000"/>
  </sheetPr>
  <dimension ref="B1:F9"/>
  <sheetViews>
    <sheetView tabSelected="1" workbookViewId="0">
      <selection activeCell="B20" sqref="B20"/>
    </sheetView>
  </sheetViews>
  <sheetFormatPr defaultRowHeight="15" x14ac:dyDescent="0.25"/>
  <cols>
    <col min="2" max="2" width="13.140625" bestFit="1" customWidth="1"/>
    <col min="3" max="3" width="14.42578125" bestFit="1" customWidth="1"/>
    <col min="4" max="4" width="16.140625" bestFit="1" customWidth="1"/>
    <col min="5" max="5" width="13.140625" bestFit="1" customWidth="1"/>
    <col min="6" max="6" width="14.42578125" bestFit="1" customWidth="1"/>
  </cols>
  <sheetData>
    <row r="1" spans="2:6" x14ac:dyDescent="0.25">
      <c r="B1" s="13" t="s">
        <v>204</v>
      </c>
      <c r="C1" t="s" vm="1">
        <v>229</v>
      </c>
      <c r="E1" s="13" t="s">
        <v>204</v>
      </c>
      <c r="F1" t="s" vm="1">
        <v>229</v>
      </c>
    </row>
    <row r="3" spans="2:6" x14ac:dyDescent="0.25">
      <c r="B3" s="13" t="s">
        <v>224</v>
      </c>
      <c r="C3" t="s">
        <v>228</v>
      </c>
      <c r="E3" s="13" t="s">
        <v>224</v>
      </c>
      <c r="F3" t="s">
        <v>228</v>
      </c>
    </row>
    <row r="4" spans="2:6" x14ac:dyDescent="0.25">
      <c r="B4" s="14" t="s">
        <v>9</v>
      </c>
      <c r="C4" s="15">
        <v>56</v>
      </c>
      <c r="E4" s="14" t="s">
        <v>9</v>
      </c>
      <c r="F4" s="15">
        <v>56</v>
      </c>
    </row>
    <row r="5" spans="2:6" x14ac:dyDescent="0.25">
      <c r="B5" s="14" t="s">
        <v>12</v>
      </c>
      <c r="C5" s="15">
        <v>54</v>
      </c>
      <c r="E5" s="14" t="s">
        <v>12</v>
      </c>
      <c r="F5" s="15">
        <v>54</v>
      </c>
    </row>
    <row r="6" spans="2:6" x14ac:dyDescent="0.25">
      <c r="B6" s="14" t="s">
        <v>21</v>
      </c>
      <c r="C6" s="15">
        <v>38</v>
      </c>
      <c r="E6" s="14" t="s">
        <v>21</v>
      </c>
      <c r="F6" s="15">
        <v>38</v>
      </c>
    </row>
    <row r="7" spans="2:6" x14ac:dyDescent="0.25">
      <c r="B7" s="14" t="s">
        <v>19</v>
      </c>
      <c r="C7" s="15">
        <v>28</v>
      </c>
      <c r="E7" s="14" t="s">
        <v>19</v>
      </c>
      <c r="F7" s="15">
        <v>28</v>
      </c>
    </row>
    <row r="8" spans="2:6" x14ac:dyDescent="0.25">
      <c r="B8" s="14" t="s">
        <v>56</v>
      </c>
      <c r="C8" s="15">
        <v>8</v>
      </c>
      <c r="E8" s="14" t="s">
        <v>56</v>
      </c>
      <c r="F8" s="15">
        <v>8</v>
      </c>
    </row>
    <row r="9" spans="2:6" x14ac:dyDescent="0.25">
      <c r="B9" s="14" t="s">
        <v>225</v>
      </c>
      <c r="C9" s="15">
        <v>184</v>
      </c>
      <c r="E9" s="14" t="s">
        <v>225</v>
      </c>
      <c r="F9" s="15">
        <v>184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4483-8766-48E0-AD02-3342E75FAC4F}">
  <sheetPr>
    <tabColor rgb="FFFFFF00"/>
  </sheetPr>
  <dimension ref="A1"/>
  <sheetViews>
    <sheetView topLeftCell="B1" workbookViewId="0">
      <selection activeCell="I20" sqref="I20"/>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5D6E9-BEBF-4BEB-86C1-9A04057C25D0}">
  <sheetPr>
    <tabColor rgb="FF92D050"/>
  </sheetPr>
  <dimension ref="A3:C7"/>
  <sheetViews>
    <sheetView workbookViewId="0">
      <selection activeCell="B6" sqref="B6"/>
    </sheetView>
  </sheetViews>
  <sheetFormatPr defaultRowHeight="15" x14ac:dyDescent="0.25"/>
  <cols>
    <col min="1" max="1" width="16.42578125" bestFit="1" customWidth="1"/>
    <col min="2" max="2" width="16.28515625" bestFit="1" customWidth="1"/>
    <col min="3" max="3" width="9" bestFit="1" customWidth="1"/>
    <col min="4" max="4" width="12" bestFit="1" customWidth="1"/>
    <col min="5" max="5" width="19.42578125" bestFit="1" customWidth="1"/>
    <col min="6" max="6" width="19.5703125" bestFit="1" customWidth="1"/>
    <col min="7" max="26" width="3" bestFit="1" customWidth="1"/>
    <col min="27" max="27" width="11.28515625" bestFit="1" customWidth="1"/>
    <col min="28" max="43" width="16.28515625" bestFit="1" customWidth="1"/>
    <col min="44" max="44" width="11.28515625" bestFit="1" customWidth="1"/>
    <col min="45" max="45" width="21" bestFit="1" customWidth="1"/>
    <col min="46" max="46" width="11.5703125" bestFit="1" customWidth="1"/>
    <col min="47" max="47" width="13.42578125" bestFit="1" customWidth="1"/>
    <col min="48" max="48" width="19.85546875" bestFit="1" customWidth="1"/>
    <col min="49" max="49" width="26.5703125" bestFit="1" customWidth="1"/>
    <col min="50" max="50" width="15" bestFit="1" customWidth="1"/>
    <col min="51" max="51" width="14.28515625" bestFit="1" customWidth="1"/>
    <col min="52" max="52" width="15.7109375" bestFit="1" customWidth="1"/>
    <col min="53" max="53" width="15.140625" bestFit="1" customWidth="1"/>
    <col min="54" max="54" width="29.42578125" bestFit="1" customWidth="1"/>
    <col min="55" max="55" width="12.28515625" bestFit="1" customWidth="1"/>
    <col min="56" max="56" width="14" bestFit="1" customWidth="1"/>
    <col min="57" max="57" width="10.28515625" bestFit="1" customWidth="1"/>
    <col min="58" max="58" width="10.85546875" bestFit="1" customWidth="1"/>
    <col min="59" max="59" width="13.7109375" bestFit="1" customWidth="1"/>
    <col min="60" max="60" width="14.7109375" bestFit="1" customWidth="1"/>
    <col min="61" max="61" width="22" bestFit="1" customWidth="1"/>
    <col min="62" max="62" width="18" bestFit="1" customWidth="1"/>
    <col min="63" max="63" width="15" bestFit="1" customWidth="1"/>
    <col min="64" max="64" width="11.42578125" bestFit="1" customWidth="1"/>
    <col min="65" max="65" width="19.42578125" bestFit="1" customWidth="1"/>
    <col min="66" max="66" width="12.140625" bestFit="1" customWidth="1"/>
    <col min="67" max="67" width="15.140625" bestFit="1" customWidth="1"/>
    <col min="68" max="68" width="19.42578125" bestFit="1" customWidth="1"/>
    <col min="69" max="69" width="22.140625" bestFit="1" customWidth="1"/>
    <col min="70" max="70" width="13.42578125" bestFit="1" customWidth="1"/>
    <col min="71" max="71" width="30" bestFit="1" customWidth="1"/>
    <col min="72" max="72" width="12.5703125" bestFit="1" customWidth="1"/>
    <col min="73" max="73" width="23.140625" bestFit="1" customWidth="1"/>
    <col min="74" max="74" width="19.140625" bestFit="1" customWidth="1"/>
    <col min="75" max="75" width="13.28515625" bestFit="1" customWidth="1"/>
    <col min="76" max="76" width="11.42578125" bestFit="1" customWidth="1"/>
    <col min="77" max="77" width="14.28515625" bestFit="1" customWidth="1"/>
    <col min="78" max="78" width="15.140625" bestFit="1" customWidth="1"/>
    <col min="79" max="79" width="11.5703125" bestFit="1" customWidth="1"/>
    <col min="80" max="80" width="17.28515625" bestFit="1" customWidth="1"/>
    <col min="81" max="81" width="11.85546875" bestFit="1" customWidth="1"/>
    <col min="82" max="82" width="12.140625" bestFit="1" customWidth="1"/>
    <col min="83" max="83" width="9.85546875" bestFit="1" customWidth="1"/>
    <col min="84" max="84" width="18.7109375" bestFit="1" customWidth="1"/>
    <col min="85" max="85" width="18.5703125" bestFit="1" customWidth="1"/>
    <col min="86" max="86" width="14.28515625" bestFit="1" customWidth="1"/>
    <col min="87" max="87" width="12.7109375" bestFit="1" customWidth="1"/>
    <col min="88" max="88" width="19.85546875" bestFit="1" customWidth="1"/>
    <col min="89" max="89" width="15.7109375" bestFit="1" customWidth="1"/>
    <col min="90" max="90" width="11.85546875" bestFit="1" customWidth="1"/>
    <col min="91" max="91" width="12.85546875" bestFit="1" customWidth="1"/>
    <col min="92" max="92" width="19.140625" bestFit="1" customWidth="1"/>
    <col min="93" max="93" width="24.7109375" bestFit="1" customWidth="1"/>
    <col min="94" max="94" width="15" bestFit="1" customWidth="1"/>
    <col min="95" max="95" width="17.5703125" bestFit="1" customWidth="1"/>
    <col min="96" max="96" width="28.85546875" bestFit="1" customWidth="1"/>
    <col min="97" max="97" width="15.7109375" bestFit="1" customWidth="1"/>
    <col min="98" max="98" width="19.140625" bestFit="1" customWidth="1"/>
    <col min="99" max="99" width="12.7109375" bestFit="1" customWidth="1"/>
    <col min="100" max="100" width="12.5703125" bestFit="1" customWidth="1"/>
    <col min="101" max="101" width="11.28515625" bestFit="1" customWidth="1"/>
    <col min="102" max="102" width="8.85546875" bestFit="1" customWidth="1"/>
    <col min="103" max="103" width="25.5703125" bestFit="1" customWidth="1"/>
    <col min="104" max="104" width="12.5703125" bestFit="1" customWidth="1"/>
    <col min="105" max="105" width="13.5703125" bestFit="1" customWidth="1"/>
    <col min="106" max="106" width="12.42578125" bestFit="1" customWidth="1"/>
    <col min="107" max="107" width="18.140625" bestFit="1" customWidth="1"/>
    <col min="108" max="108" width="25.140625" bestFit="1" customWidth="1"/>
    <col min="109" max="109" width="14.5703125" bestFit="1" customWidth="1"/>
    <col min="110" max="110" width="11.28515625" bestFit="1" customWidth="1"/>
    <col min="111" max="111" width="16.5703125" bestFit="1" customWidth="1"/>
    <col min="112" max="112" width="14.140625" bestFit="1" customWidth="1"/>
    <col min="113" max="113" width="16.7109375" bestFit="1" customWidth="1"/>
    <col min="114" max="114" width="13.7109375" bestFit="1" customWidth="1"/>
    <col min="115" max="115" width="12.7109375" bestFit="1" customWidth="1"/>
    <col min="116" max="116" width="18" bestFit="1" customWidth="1"/>
    <col min="117" max="117" width="16.140625" bestFit="1" customWidth="1"/>
    <col min="118" max="118" width="20.42578125" bestFit="1" customWidth="1"/>
    <col min="119" max="119" width="11.7109375" bestFit="1" customWidth="1"/>
    <col min="120" max="120" width="15.5703125" bestFit="1" customWidth="1"/>
    <col min="121" max="121" width="16.140625" bestFit="1" customWidth="1"/>
    <col min="122" max="122" width="15.140625" bestFit="1" customWidth="1"/>
    <col min="123" max="123" width="13.42578125" bestFit="1" customWidth="1"/>
    <col min="124" max="124" width="20.28515625" bestFit="1" customWidth="1"/>
    <col min="125" max="125" width="14" bestFit="1" customWidth="1"/>
    <col min="126" max="126" width="21.5703125" bestFit="1" customWidth="1"/>
    <col min="127" max="127" width="12.42578125" bestFit="1" customWidth="1"/>
    <col min="128" max="128" width="11.28515625" bestFit="1" customWidth="1"/>
    <col min="129" max="129" width="21.42578125" bestFit="1" customWidth="1"/>
    <col min="130" max="130" width="12.140625" bestFit="1" customWidth="1"/>
    <col min="131" max="131" width="12.85546875" bestFit="1" customWidth="1"/>
    <col min="132" max="132" width="13.85546875" bestFit="1" customWidth="1"/>
    <col min="133" max="133" width="12.5703125" bestFit="1" customWidth="1"/>
    <col min="134" max="134" width="16.28515625" bestFit="1" customWidth="1"/>
    <col min="135" max="135" width="20.42578125" bestFit="1" customWidth="1"/>
    <col min="136" max="136" width="19.85546875" bestFit="1" customWidth="1"/>
    <col min="137" max="137" width="12.42578125" bestFit="1" customWidth="1"/>
    <col min="138" max="138" width="12.28515625" bestFit="1" customWidth="1"/>
    <col min="139" max="139" width="16.7109375" bestFit="1" customWidth="1"/>
    <col min="140" max="140" width="15.140625" bestFit="1" customWidth="1"/>
    <col min="141" max="141" width="20.42578125" bestFit="1" customWidth="1"/>
    <col min="142" max="142" width="15.140625" bestFit="1" customWidth="1"/>
    <col min="143" max="143" width="19" bestFit="1" customWidth="1"/>
    <col min="144" max="144" width="15" bestFit="1" customWidth="1"/>
    <col min="145" max="145" width="14.42578125" bestFit="1" customWidth="1"/>
    <col min="146" max="146" width="15.140625" bestFit="1" customWidth="1"/>
    <col min="147" max="147" width="13.5703125" bestFit="1" customWidth="1"/>
    <col min="148" max="148" width="12.85546875" bestFit="1" customWidth="1"/>
    <col min="149" max="149" width="15.7109375" bestFit="1" customWidth="1"/>
    <col min="150" max="150" width="11.42578125" bestFit="1" customWidth="1"/>
    <col min="151" max="151" width="17.7109375" bestFit="1" customWidth="1"/>
    <col min="152" max="152" width="13.5703125" bestFit="1" customWidth="1"/>
    <col min="153" max="153" width="19.28515625" bestFit="1" customWidth="1"/>
    <col min="154" max="154" width="24.140625" bestFit="1" customWidth="1"/>
    <col min="155" max="155" width="16.28515625" bestFit="1" customWidth="1"/>
    <col min="156" max="156" width="12.7109375" bestFit="1" customWidth="1"/>
    <col min="157" max="157" width="21.5703125" bestFit="1" customWidth="1"/>
    <col min="158" max="158" width="22.140625" bestFit="1" customWidth="1"/>
    <col min="159" max="159" width="14.85546875" bestFit="1" customWidth="1"/>
    <col min="160" max="160" width="18" bestFit="1" customWidth="1"/>
    <col min="161" max="161" width="20.28515625" bestFit="1" customWidth="1"/>
    <col min="162" max="162" width="12.28515625" bestFit="1" customWidth="1"/>
    <col min="163" max="163" width="14.28515625" bestFit="1" customWidth="1"/>
    <col min="164" max="164" width="13.5703125" bestFit="1" customWidth="1"/>
    <col min="165" max="165" width="14.85546875" bestFit="1" customWidth="1"/>
    <col min="166" max="166" width="11.7109375" bestFit="1" customWidth="1"/>
    <col min="167" max="167" width="16.85546875" bestFit="1" customWidth="1"/>
    <col min="168" max="168" width="15.140625" bestFit="1" customWidth="1"/>
    <col min="169" max="169" width="13.42578125" bestFit="1" customWidth="1"/>
    <col min="170" max="170" width="12.140625" bestFit="1" customWidth="1"/>
    <col min="171" max="171" width="18.7109375" bestFit="1" customWidth="1"/>
    <col min="172" max="172" width="17.28515625" bestFit="1" customWidth="1"/>
    <col min="173" max="173" width="18.42578125" bestFit="1" customWidth="1"/>
    <col min="174" max="174" width="16.85546875" bestFit="1" customWidth="1"/>
    <col min="175" max="175" width="13.42578125" bestFit="1" customWidth="1"/>
    <col min="176" max="176" width="10.5703125" bestFit="1" customWidth="1"/>
    <col min="177" max="177" width="11.28515625" bestFit="1" customWidth="1"/>
  </cols>
  <sheetData>
    <row r="3" spans="1:3" x14ac:dyDescent="0.25">
      <c r="B3" s="13" t="s">
        <v>226</v>
      </c>
    </row>
    <row r="4" spans="1:3" x14ac:dyDescent="0.25">
      <c r="A4" s="13" t="s">
        <v>230</v>
      </c>
      <c r="B4" t="s">
        <v>8</v>
      </c>
      <c r="C4" t="s">
        <v>15</v>
      </c>
    </row>
    <row r="5" spans="1:3" x14ac:dyDescent="0.25">
      <c r="A5" s="14" t="s">
        <v>228</v>
      </c>
      <c r="B5" s="15">
        <v>86</v>
      </c>
      <c r="C5" s="15">
        <v>90</v>
      </c>
    </row>
    <row r="6" spans="1:3" x14ac:dyDescent="0.25">
      <c r="A6" s="14" t="s">
        <v>227</v>
      </c>
      <c r="B6" s="16">
        <v>31.406976744186046</v>
      </c>
      <c r="C6" s="16">
        <v>29.444444444444443</v>
      </c>
    </row>
    <row r="7" spans="1:3" x14ac:dyDescent="0.25">
      <c r="A7" s="14" t="s">
        <v>231</v>
      </c>
      <c r="B7" s="17">
        <v>78284.186046511633</v>
      </c>
      <c r="C7" s="17">
        <v>75334.444444444438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2B6-E07E-4FF9-A45D-498166CD7F88}">
  <sheetPr>
    <tabColor rgb="FF00B050"/>
  </sheetPr>
  <dimension ref="B3:P62"/>
  <sheetViews>
    <sheetView topLeftCell="A2" workbookViewId="0">
      <selection activeCell="N7" sqref="N7"/>
    </sheetView>
  </sheetViews>
  <sheetFormatPr defaultRowHeight="15" x14ac:dyDescent="0.25"/>
  <cols>
    <col min="2" max="2" width="10.42578125" bestFit="1" customWidth="1"/>
    <col min="3" max="3" width="12.5703125" bestFit="1" customWidth="1"/>
    <col min="14" max="14" width="30" bestFit="1" customWidth="1"/>
    <col min="15" max="15" width="12.5703125" bestFit="1" customWidth="1"/>
    <col min="16" max="16" width="7" bestFit="1" customWidth="1"/>
  </cols>
  <sheetData>
    <row r="3" spans="2:16" x14ac:dyDescent="0.25">
      <c r="B3" s="12">
        <v>3</v>
      </c>
      <c r="C3" t="s">
        <v>222</v>
      </c>
    </row>
    <row r="5" spans="2:16" x14ac:dyDescent="0.25">
      <c r="B5" s="6" t="s">
        <v>223</v>
      </c>
      <c r="C5" s="6" t="s">
        <v>9</v>
      </c>
    </row>
    <row r="6" spans="2:16" x14ac:dyDescent="0.25">
      <c r="B6">
        <v>1</v>
      </c>
      <c r="C6">
        <v>2</v>
      </c>
      <c r="D6">
        <v>3</v>
      </c>
      <c r="E6">
        <v>4</v>
      </c>
      <c r="F6">
        <v>5</v>
      </c>
      <c r="G6">
        <v>6</v>
      </c>
      <c r="H6">
        <v>7</v>
      </c>
      <c r="I6">
        <v>8</v>
      </c>
      <c r="J6">
        <v>9</v>
      </c>
      <c r="K6">
        <v>10</v>
      </c>
      <c r="L6">
        <v>11</v>
      </c>
    </row>
    <row r="7" spans="2:16" x14ac:dyDescent="0.25">
      <c r="B7" t="e" cm="1" vm="2">
        <f t="array" aca="1" ref="B7" ca="1">_xlfn._xlws.FILTER(All_Staff[],All_Staff[Department]=C5)</f>
        <v>#VALUE!</v>
      </c>
      <c r="N7" t="str" cm="1">
        <f t="array" aca="1" ref="N7:P62" ca="1">_xlfn._xlws.SORT(_xlfn.CHOOSECOLS(_xlfn._xlws.FILTER(All_Staff[],All_Staff[Department]=C5),1,3,6),3,-1)</f>
        <v>Roddy Speechley</v>
      </c>
      <c r="O7" t="str">
        <f ca="1"/>
        <v>Procurement</v>
      </c>
      <c r="P7">
        <f ca="1"/>
        <v>115920</v>
      </c>
    </row>
    <row r="8" spans="2:16" x14ac:dyDescent="0.25">
      <c r="N8" t="str">
        <f ca="1"/>
        <v>Sarayu Ragunathan</v>
      </c>
      <c r="O8" t="str">
        <f ca="1"/>
        <v>Procurement</v>
      </c>
      <c r="P8">
        <f ca="1"/>
        <v>115920</v>
      </c>
    </row>
    <row r="9" spans="2:16" x14ac:dyDescent="0.25">
      <c r="N9" t="str">
        <f ca="1"/>
        <v>Tracy Renad</v>
      </c>
      <c r="O9" t="str">
        <f ca="1"/>
        <v>Procurement</v>
      </c>
      <c r="P9">
        <f ca="1"/>
        <v>114890</v>
      </c>
    </row>
    <row r="10" spans="2:16" x14ac:dyDescent="0.25">
      <c r="N10" t="str">
        <f ca="1"/>
        <v>Dhruv Manjunath</v>
      </c>
      <c r="O10" t="str">
        <f ca="1"/>
        <v>Procurement</v>
      </c>
      <c r="P10">
        <f ca="1"/>
        <v>114890</v>
      </c>
    </row>
    <row r="11" spans="2:16" x14ac:dyDescent="0.25">
      <c r="N11" t="str">
        <f ca="1"/>
        <v>Hogan Iles</v>
      </c>
      <c r="O11" t="str">
        <f ca="1"/>
        <v>Procurement</v>
      </c>
      <c r="P11">
        <f ca="1"/>
        <v>114180</v>
      </c>
    </row>
    <row r="12" spans="2:16" x14ac:dyDescent="0.25">
      <c r="N12" t="str">
        <f ca="1"/>
        <v>Sarojini Naueshwara</v>
      </c>
      <c r="O12" t="str">
        <f ca="1"/>
        <v>Procurement</v>
      </c>
      <c r="P12">
        <f ca="1"/>
        <v>114180</v>
      </c>
    </row>
    <row r="13" spans="2:16" x14ac:dyDescent="0.25">
      <c r="N13" t="str">
        <f ca="1"/>
        <v>Mahalia Larcher</v>
      </c>
      <c r="O13" t="str">
        <f ca="1"/>
        <v>Procurement</v>
      </c>
      <c r="P13">
        <f ca="1"/>
        <v>113280</v>
      </c>
    </row>
    <row r="14" spans="2:16" x14ac:dyDescent="0.25">
      <c r="N14" t="str">
        <f ca="1"/>
        <v>Ilesh Dasgupta</v>
      </c>
      <c r="O14" t="str">
        <f ca="1"/>
        <v>Procurement</v>
      </c>
      <c r="P14">
        <f ca="1"/>
        <v>113280</v>
      </c>
    </row>
    <row r="15" spans="2:16" x14ac:dyDescent="0.25">
      <c r="N15" t="str">
        <f ca="1"/>
        <v>Mollie Hanway</v>
      </c>
      <c r="O15" t="str">
        <f ca="1"/>
        <v>Procurement</v>
      </c>
      <c r="P15">
        <f ca="1"/>
        <v>112650</v>
      </c>
    </row>
    <row r="16" spans="2:16" x14ac:dyDescent="0.25">
      <c r="N16" t="str">
        <f ca="1"/>
        <v>Bandhula Sathyanna</v>
      </c>
      <c r="O16" t="str">
        <f ca="1"/>
        <v>Procurement</v>
      </c>
      <c r="P16">
        <f ca="1"/>
        <v>112650</v>
      </c>
    </row>
    <row r="17" spans="14:16" x14ac:dyDescent="0.25">
      <c r="N17" t="str">
        <f ca="1"/>
        <v>Halimeda Kuscha</v>
      </c>
      <c r="O17" t="str">
        <f ca="1"/>
        <v>Procurement</v>
      </c>
      <c r="P17">
        <f ca="1"/>
        <v>112570</v>
      </c>
    </row>
    <row r="18" spans="14:16" x14ac:dyDescent="0.25">
      <c r="N18" t="str">
        <f ca="1"/>
        <v>Makshi Vinutha</v>
      </c>
      <c r="O18" t="str">
        <f ca="1"/>
        <v>Procurement</v>
      </c>
      <c r="P18">
        <f ca="1"/>
        <v>112570</v>
      </c>
    </row>
    <row r="19" spans="14:16" x14ac:dyDescent="0.25">
      <c r="N19" t="str">
        <f ca="1"/>
        <v>Madelene Upcott</v>
      </c>
      <c r="O19" t="str">
        <f ca="1"/>
        <v>Procurement</v>
      </c>
      <c r="P19">
        <f ca="1"/>
        <v>109190</v>
      </c>
    </row>
    <row r="20" spans="14:16" x14ac:dyDescent="0.25">
      <c r="N20" t="str">
        <f ca="1"/>
        <v>Damayanti Thangavadivelu</v>
      </c>
      <c r="O20" t="str">
        <f ca="1"/>
        <v>Procurement</v>
      </c>
      <c r="P20">
        <f ca="1"/>
        <v>109190</v>
      </c>
    </row>
    <row r="21" spans="14:16" x14ac:dyDescent="0.25">
      <c r="N21" t="str">
        <f ca="1"/>
        <v>Kissiah Maydway</v>
      </c>
      <c r="O21" t="str">
        <f ca="1"/>
        <v>Procurement</v>
      </c>
      <c r="P21">
        <f ca="1"/>
        <v>106460</v>
      </c>
    </row>
    <row r="22" spans="14:16" x14ac:dyDescent="0.25">
      <c r="N22" t="str">
        <f ca="1"/>
        <v>Sahas Sanabhi Shrikant</v>
      </c>
      <c r="O22" t="str">
        <f ca="1"/>
        <v>Procurement</v>
      </c>
      <c r="P22">
        <f ca="1"/>
        <v>106460</v>
      </c>
    </row>
    <row r="23" spans="14:16" x14ac:dyDescent="0.25">
      <c r="N23" t="str">
        <f ca="1"/>
        <v>Janene Hairsine</v>
      </c>
      <c r="O23" t="str">
        <f ca="1"/>
        <v>Procurement</v>
      </c>
      <c r="P23">
        <f ca="1"/>
        <v>104770</v>
      </c>
    </row>
    <row r="24" spans="14:16" x14ac:dyDescent="0.25">
      <c r="N24" t="str">
        <f ca="1"/>
        <v>Shevantilal Muppala</v>
      </c>
      <c r="O24" t="str">
        <f ca="1"/>
        <v>Procurement</v>
      </c>
      <c r="P24">
        <f ca="1"/>
        <v>104770</v>
      </c>
    </row>
    <row r="25" spans="14:16" x14ac:dyDescent="0.25">
      <c r="N25" t="str">
        <f ca="1"/>
        <v>Cherlyn Barter</v>
      </c>
      <c r="O25" t="str">
        <f ca="1"/>
        <v>Procurement</v>
      </c>
      <c r="P25">
        <f ca="1"/>
        <v>104120</v>
      </c>
    </row>
    <row r="26" spans="14:16" x14ac:dyDescent="0.25">
      <c r="N26" t="str">
        <f ca="1"/>
        <v>Sartaj Probal</v>
      </c>
      <c r="O26" t="str">
        <f ca="1"/>
        <v>Procurement</v>
      </c>
      <c r="P26">
        <f ca="1"/>
        <v>104120</v>
      </c>
    </row>
    <row r="27" spans="14:16" x14ac:dyDescent="0.25">
      <c r="N27" t="str">
        <f ca="1"/>
        <v>Dyna Doucette</v>
      </c>
      <c r="O27" t="str">
        <f ca="1"/>
        <v>Procurement</v>
      </c>
      <c r="P27">
        <f ca="1"/>
        <v>103550</v>
      </c>
    </row>
    <row r="28" spans="14:16" x14ac:dyDescent="0.25">
      <c r="N28" t="str">
        <f ca="1"/>
        <v>Satyendra Venkatadri</v>
      </c>
      <c r="O28" t="str">
        <f ca="1"/>
        <v>Procurement</v>
      </c>
      <c r="P28">
        <f ca="1"/>
        <v>103550</v>
      </c>
    </row>
    <row r="29" spans="14:16" x14ac:dyDescent="0.25">
      <c r="N29" t="str">
        <f ca="1"/>
        <v>Bernie Gorges</v>
      </c>
      <c r="O29" t="str">
        <f ca="1"/>
        <v>Procurement</v>
      </c>
      <c r="P29">
        <f ca="1"/>
        <v>99970</v>
      </c>
    </row>
    <row r="30" spans="14:16" x14ac:dyDescent="0.25">
      <c r="N30" t="str">
        <f ca="1"/>
        <v>Vasu Nandin</v>
      </c>
      <c r="O30" t="str">
        <f ca="1"/>
        <v>Procurement</v>
      </c>
      <c r="P30">
        <f ca="1"/>
        <v>99970</v>
      </c>
    </row>
    <row r="31" spans="14:16" x14ac:dyDescent="0.25">
      <c r="N31" t="str">
        <f ca="1"/>
        <v>Simon Kembery</v>
      </c>
      <c r="O31" t="str">
        <f ca="1"/>
        <v>Procurement</v>
      </c>
      <c r="P31">
        <f ca="1"/>
        <v>99750</v>
      </c>
    </row>
    <row r="32" spans="14:16" x14ac:dyDescent="0.25">
      <c r="N32" t="str">
        <f ca="1"/>
        <v>Baruna Ogale</v>
      </c>
      <c r="O32" t="str">
        <f ca="1"/>
        <v>Procurement</v>
      </c>
      <c r="P32">
        <f ca="1"/>
        <v>99750</v>
      </c>
    </row>
    <row r="33" spans="14:16" x14ac:dyDescent="0.25">
      <c r="N33" t="str">
        <f ca="1"/>
        <v>Kellsie Waby</v>
      </c>
      <c r="O33" t="str">
        <f ca="1"/>
        <v>Procurement</v>
      </c>
      <c r="P33">
        <f ca="1"/>
        <v>79570</v>
      </c>
    </row>
    <row r="34" spans="14:16" x14ac:dyDescent="0.25">
      <c r="N34" t="str">
        <f ca="1"/>
        <v>Udyan Lanka</v>
      </c>
      <c r="O34" t="str">
        <f ca="1"/>
        <v>Procurement</v>
      </c>
      <c r="P34">
        <f ca="1"/>
        <v>79570</v>
      </c>
    </row>
    <row r="35" spans="14:16" x14ac:dyDescent="0.25">
      <c r="N35" t="str">
        <f ca="1"/>
        <v>Allene Gobbet</v>
      </c>
      <c r="O35" t="str">
        <f ca="1"/>
        <v>Procurement</v>
      </c>
      <c r="P35">
        <f ca="1"/>
        <v>78390</v>
      </c>
    </row>
    <row r="36" spans="14:16" x14ac:dyDescent="0.25">
      <c r="N36" t="str">
        <f ca="1"/>
        <v>Rushil Kripa</v>
      </c>
      <c r="O36" t="str">
        <f ca="1"/>
        <v>Procurement</v>
      </c>
      <c r="P36">
        <f ca="1"/>
        <v>78390</v>
      </c>
    </row>
    <row r="37" spans="14:16" x14ac:dyDescent="0.25">
      <c r="N37" t="str">
        <f ca="1"/>
        <v>Virginia McConville</v>
      </c>
      <c r="O37" t="str">
        <f ca="1"/>
        <v>Procurement</v>
      </c>
      <c r="P37">
        <f ca="1"/>
        <v>76900</v>
      </c>
    </row>
    <row r="38" spans="14:16" x14ac:dyDescent="0.25">
      <c r="N38" t="str">
        <f ca="1"/>
        <v>Shreela Ramasubraman</v>
      </c>
      <c r="O38" t="str">
        <f ca="1"/>
        <v>Procurement</v>
      </c>
      <c r="P38">
        <f ca="1"/>
        <v>76900</v>
      </c>
    </row>
    <row r="39" spans="14:16" x14ac:dyDescent="0.25">
      <c r="N39" t="str">
        <f ca="1"/>
        <v>Barr Faughny</v>
      </c>
      <c r="O39" t="str">
        <f ca="1"/>
        <v>Procurement</v>
      </c>
      <c r="P39">
        <f ca="1"/>
        <v>75000</v>
      </c>
    </row>
    <row r="40" spans="14:16" x14ac:dyDescent="0.25">
      <c r="N40" t="str">
        <f ca="1"/>
        <v>Nanak Sapna</v>
      </c>
      <c r="O40" t="str">
        <f ca="1"/>
        <v>Procurement</v>
      </c>
      <c r="P40">
        <f ca="1"/>
        <v>75000</v>
      </c>
    </row>
    <row r="41" spans="14:16" x14ac:dyDescent="0.25">
      <c r="N41" t="str">
        <f ca="1"/>
        <v>Ambros Murthwaite</v>
      </c>
      <c r="O41" t="str">
        <f ca="1"/>
        <v>Procurement</v>
      </c>
      <c r="P41">
        <f ca="1"/>
        <v>70610</v>
      </c>
    </row>
    <row r="42" spans="14:16" x14ac:dyDescent="0.25">
      <c r="N42" t="str">
        <f ca="1"/>
        <v>Ranajay Kailashnath Richa</v>
      </c>
      <c r="O42" t="str">
        <f ca="1"/>
        <v>Procurement</v>
      </c>
      <c r="P42">
        <f ca="1"/>
        <v>70610</v>
      </c>
    </row>
    <row r="43" spans="14:16" x14ac:dyDescent="0.25">
      <c r="N43" t="str">
        <f ca="1"/>
        <v>Ebonee Roxburgh</v>
      </c>
      <c r="O43" t="str">
        <f ca="1"/>
        <v>Procurement</v>
      </c>
      <c r="P43">
        <f ca="1"/>
        <v>67950</v>
      </c>
    </row>
    <row r="44" spans="14:16" x14ac:dyDescent="0.25">
      <c r="N44" t="str">
        <f ca="1"/>
        <v>Mahindra Sreedharan</v>
      </c>
      <c r="O44" t="str">
        <f ca="1"/>
        <v>Procurement</v>
      </c>
      <c r="P44">
        <f ca="1"/>
        <v>67950</v>
      </c>
    </row>
    <row r="45" spans="14:16" x14ac:dyDescent="0.25">
      <c r="N45" t="str">
        <f ca="1"/>
        <v>Mallorie Waber</v>
      </c>
      <c r="O45" t="str">
        <f ca="1"/>
        <v>Procurement</v>
      </c>
      <c r="P45">
        <f ca="1"/>
        <v>60570</v>
      </c>
    </row>
    <row r="46" spans="14:16" x14ac:dyDescent="0.25">
      <c r="N46" t="str">
        <f ca="1"/>
        <v>Mardav Ramaswami</v>
      </c>
      <c r="O46" t="str">
        <f ca="1"/>
        <v>Procurement</v>
      </c>
      <c r="P46">
        <f ca="1"/>
        <v>60570</v>
      </c>
    </row>
    <row r="47" spans="14:16" x14ac:dyDescent="0.25">
      <c r="N47" t="str">
        <f ca="1"/>
        <v>Lilyan Klimpt</v>
      </c>
      <c r="O47" t="str">
        <f ca="1"/>
        <v>Procurement</v>
      </c>
      <c r="P47">
        <f ca="1"/>
        <v>58960</v>
      </c>
    </row>
    <row r="48" spans="14:16" x14ac:dyDescent="0.25">
      <c r="N48" t="str">
        <f ca="1"/>
        <v>Vinanti Choudhari</v>
      </c>
      <c r="O48" t="str">
        <f ca="1"/>
        <v>Procurement</v>
      </c>
      <c r="P48">
        <f ca="1"/>
        <v>58960</v>
      </c>
    </row>
    <row r="49" spans="14:16" x14ac:dyDescent="0.25">
      <c r="N49" t="str">
        <f ca="1"/>
        <v>Kelci Walkden</v>
      </c>
      <c r="O49" t="str">
        <f ca="1"/>
        <v>Procurement</v>
      </c>
      <c r="P49">
        <f ca="1"/>
        <v>57090</v>
      </c>
    </row>
    <row r="50" spans="14:16" x14ac:dyDescent="0.25">
      <c r="N50" t="str">
        <f ca="1"/>
        <v>Shattesh Utpat</v>
      </c>
      <c r="O50" t="str">
        <f ca="1"/>
        <v>Procurement</v>
      </c>
      <c r="P50">
        <f ca="1"/>
        <v>57090</v>
      </c>
    </row>
    <row r="51" spans="14:16" x14ac:dyDescent="0.25">
      <c r="N51" t="str">
        <f ca="1"/>
        <v>Zach Polon</v>
      </c>
      <c r="O51" t="str">
        <f ca="1"/>
        <v>Procurement</v>
      </c>
      <c r="P51">
        <f ca="1"/>
        <v>53540</v>
      </c>
    </row>
    <row r="52" spans="14:16" x14ac:dyDescent="0.25">
      <c r="N52" t="str">
        <f ca="1"/>
        <v>Chitrasen Laul</v>
      </c>
      <c r="O52" t="str">
        <f ca="1"/>
        <v>Procurement</v>
      </c>
      <c r="P52">
        <f ca="1"/>
        <v>53540</v>
      </c>
    </row>
    <row r="53" spans="14:16" x14ac:dyDescent="0.25">
      <c r="N53" t="str">
        <f ca="1"/>
        <v>Erin Androsik</v>
      </c>
      <c r="O53" t="str">
        <f ca="1"/>
        <v>Procurement</v>
      </c>
      <c r="P53">
        <f ca="1"/>
        <v>48530</v>
      </c>
    </row>
    <row r="54" spans="14:16" x14ac:dyDescent="0.25">
      <c r="N54" t="str">
        <f ca="1"/>
        <v>Piyali Mahanthapa</v>
      </c>
      <c r="O54" t="str">
        <f ca="1"/>
        <v>Procurement</v>
      </c>
      <c r="P54">
        <f ca="1"/>
        <v>48530</v>
      </c>
    </row>
    <row r="55" spans="14:16" x14ac:dyDescent="0.25">
      <c r="N55" t="str">
        <f ca="1"/>
        <v>Dell Molloy</v>
      </c>
      <c r="O55" t="str">
        <f ca="1"/>
        <v>Procurement</v>
      </c>
      <c r="P55">
        <f ca="1"/>
        <v>47360</v>
      </c>
    </row>
    <row r="56" spans="14:16" x14ac:dyDescent="0.25">
      <c r="N56" t="str">
        <f ca="1"/>
        <v>Shiuli Sapna</v>
      </c>
      <c r="O56" t="str">
        <f ca="1"/>
        <v>Procurement</v>
      </c>
      <c r="P56">
        <f ca="1"/>
        <v>47360</v>
      </c>
    </row>
    <row r="57" spans="14:16" x14ac:dyDescent="0.25">
      <c r="N57" t="str">
        <f ca="1"/>
        <v>Crissie Cordel</v>
      </c>
      <c r="O57" t="str">
        <f ca="1"/>
        <v>Procurement</v>
      </c>
      <c r="P57">
        <f ca="1"/>
        <v>41570</v>
      </c>
    </row>
    <row r="58" spans="14:16" x14ac:dyDescent="0.25">
      <c r="N58" t="str">
        <f ca="1"/>
        <v>Prerana Nishita</v>
      </c>
      <c r="O58" t="str">
        <f ca="1"/>
        <v>Procurement</v>
      </c>
      <c r="P58">
        <f ca="1"/>
        <v>41570</v>
      </c>
    </row>
    <row r="59" spans="14:16" x14ac:dyDescent="0.25">
      <c r="N59" t="str">
        <f ca="1"/>
        <v>Archibald Filliskirk</v>
      </c>
      <c r="O59" t="str">
        <f ca="1"/>
        <v>Procurement</v>
      </c>
      <c r="P59">
        <f ca="1"/>
        <v>40400</v>
      </c>
    </row>
    <row r="60" spans="14:16" x14ac:dyDescent="0.25">
      <c r="N60" t="str">
        <f ca="1"/>
        <v>Shobhana Samuel</v>
      </c>
      <c r="O60" t="str">
        <f ca="1"/>
        <v>Procurement</v>
      </c>
      <c r="P60">
        <f ca="1"/>
        <v>40400</v>
      </c>
    </row>
    <row r="61" spans="14:16" x14ac:dyDescent="0.25">
      <c r="N61" t="str">
        <f ca="1"/>
        <v>Orton Livick</v>
      </c>
      <c r="O61" t="str">
        <f ca="1"/>
        <v>Procurement</v>
      </c>
      <c r="P61">
        <f ca="1"/>
        <v>37920</v>
      </c>
    </row>
    <row r="62" spans="14:16" x14ac:dyDescent="0.25">
      <c r="N62" t="str">
        <f ca="1"/>
        <v>Akbar Sorabhjee</v>
      </c>
      <c r="O62" t="str">
        <f ca="1"/>
        <v>Procurement</v>
      </c>
      <c r="P62">
        <f ca="1"/>
        <v>37920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2BD3D-7A8C-423A-82FB-D97A4B974E9B}">
  <sheetPr>
    <tabColor rgb="FFFF0000"/>
  </sheetPr>
  <dimension ref="B2:M18"/>
  <sheetViews>
    <sheetView showGridLines="0" topLeftCell="A8" workbookViewId="0">
      <selection activeCell="N3" sqref="N3"/>
    </sheetView>
  </sheetViews>
  <sheetFormatPr defaultRowHeight="15" x14ac:dyDescent="0.25"/>
  <cols>
    <col min="2" max="2" width="18" customWidth="1"/>
    <col min="3" max="3" width="1.7109375" customWidth="1"/>
    <col min="4" max="4" width="16.7109375" customWidth="1"/>
    <col min="5" max="5" width="1.42578125" customWidth="1"/>
    <col min="6" max="6" width="17.7109375" customWidth="1"/>
    <col min="8" max="8" width="7.42578125" customWidth="1"/>
    <col min="9" max="9" width="16.85546875" customWidth="1"/>
    <col min="10" max="10" width="1.7109375" customWidth="1"/>
    <col min="11" max="11" width="16.42578125" customWidth="1"/>
    <col min="12" max="12" width="1.7109375" customWidth="1"/>
    <col min="13" max="13" width="18.42578125" customWidth="1"/>
  </cols>
  <sheetData>
    <row r="2" spans="2:13" ht="30.75" customHeight="1" x14ac:dyDescent="0.25">
      <c r="B2" s="37" t="s">
        <v>205</v>
      </c>
      <c r="C2" s="37"/>
      <c r="D2" s="37"/>
      <c r="E2" s="37"/>
      <c r="F2" s="37"/>
      <c r="I2" s="36" t="s">
        <v>239</v>
      </c>
      <c r="J2" s="36"/>
      <c r="K2" s="36"/>
      <c r="L2" s="36"/>
      <c r="M2" s="36"/>
    </row>
    <row r="3" spans="2:13" ht="59.25" customHeight="1" x14ac:dyDescent="0.25">
      <c r="B3" s="30">
        <f>COUNTIF(All_Staff[Country],"NZ")</f>
        <v>92</v>
      </c>
      <c r="D3" s="30">
        <f>COUNTIFS(All_Staff[Country],"NZ",All_Staff[Gender],"Female")</f>
        <v>43</v>
      </c>
      <c r="F3" s="32">
        <f>AVERAGEIFS(All_Staff[Salary],All_Staff[Country],"NZ")</f>
        <v>77366.521739130432</v>
      </c>
      <c r="I3" s="31">
        <f>COUNTIF(All_Staff[Country],"india")</f>
        <v>92</v>
      </c>
      <c r="K3" s="31">
        <f>COUNTIFS(All_Staff[Country],"india",All_Staff[Gender],"Female")</f>
        <v>43</v>
      </c>
      <c r="M3" s="33">
        <f>AVERAGEIFS(All_Staff[Salary],All_Staff[Country],"india")</f>
        <v>77366.521739130432</v>
      </c>
    </row>
    <row r="4" spans="2:13" ht="0.75" customHeight="1" x14ac:dyDescent="0.25"/>
    <row r="5" spans="2:13" x14ac:dyDescent="0.25">
      <c r="D5" s="34" t="s">
        <v>238</v>
      </c>
      <c r="E5" s="35"/>
      <c r="F5" s="35"/>
      <c r="G5" s="35"/>
      <c r="H5" s="35"/>
      <c r="I5" s="35"/>
      <c r="J5" s="35"/>
      <c r="K5" s="35"/>
    </row>
    <row r="6" spans="2:13" x14ac:dyDescent="0.25">
      <c r="D6" s="35"/>
      <c r="E6" s="35"/>
      <c r="F6" s="35"/>
      <c r="G6" s="35"/>
      <c r="H6" s="35"/>
      <c r="I6" s="35"/>
      <c r="J6" s="35"/>
      <c r="K6" s="35"/>
    </row>
    <row r="7" spans="2:13" hidden="1" x14ac:dyDescent="0.25"/>
    <row r="8" spans="2:13" x14ac:dyDescent="0.25">
      <c r="B8" s="21"/>
      <c r="C8" s="22"/>
      <c r="D8" s="22"/>
      <c r="E8" s="22"/>
      <c r="F8" s="23"/>
      <c r="I8" s="21"/>
      <c r="J8" s="22"/>
      <c r="K8" s="22"/>
      <c r="L8" s="22"/>
      <c r="M8" s="23"/>
    </row>
    <row r="9" spans="2:13" x14ac:dyDescent="0.25">
      <c r="B9" s="24"/>
      <c r="C9" s="25"/>
      <c r="D9" s="25"/>
      <c r="E9" s="25"/>
      <c r="F9" s="26"/>
      <c r="I9" s="24"/>
      <c r="J9" s="25"/>
      <c r="K9" s="25"/>
      <c r="L9" s="25"/>
      <c r="M9" s="26"/>
    </row>
    <row r="10" spans="2:13" x14ac:dyDescent="0.25">
      <c r="B10" s="24"/>
      <c r="C10" s="25"/>
      <c r="D10" s="25"/>
      <c r="E10" s="25"/>
      <c r="F10" s="26"/>
      <c r="I10" s="24"/>
      <c r="J10" s="25"/>
      <c r="K10" s="25"/>
      <c r="L10" s="25"/>
      <c r="M10" s="26"/>
    </row>
    <row r="11" spans="2:13" x14ac:dyDescent="0.25">
      <c r="B11" s="24"/>
      <c r="C11" s="25"/>
      <c r="D11" s="25"/>
      <c r="E11" s="25"/>
      <c r="F11" s="26"/>
      <c r="I11" s="24"/>
      <c r="J11" s="25"/>
      <c r="K11" s="25"/>
      <c r="L11" s="25"/>
      <c r="M11" s="26"/>
    </row>
    <row r="12" spans="2:13" x14ac:dyDescent="0.25">
      <c r="B12" s="24"/>
      <c r="C12" s="25"/>
      <c r="D12" s="25"/>
      <c r="E12" s="25"/>
      <c r="F12" s="26"/>
      <c r="I12" s="24"/>
      <c r="J12" s="25"/>
      <c r="K12" s="25"/>
      <c r="L12" s="25"/>
      <c r="M12" s="26"/>
    </row>
    <row r="13" spans="2:13" x14ac:dyDescent="0.25">
      <c r="B13" s="24"/>
      <c r="C13" s="25"/>
      <c r="D13" s="25"/>
      <c r="E13" s="25"/>
      <c r="F13" s="26"/>
      <c r="I13" s="24"/>
      <c r="J13" s="25"/>
      <c r="K13" s="25"/>
      <c r="L13" s="25"/>
      <c r="M13" s="26"/>
    </row>
    <row r="14" spans="2:13" x14ac:dyDescent="0.25">
      <c r="B14" s="24"/>
      <c r="C14" s="25"/>
      <c r="D14" s="25"/>
      <c r="E14" s="25"/>
      <c r="F14" s="26"/>
      <c r="I14" s="24"/>
      <c r="J14" s="25"/>
      <c r="K14" s="25"/>
      <c r="L14" s="25"/>
      <c r="M14" s="26"/>
    </row>
    <row r="15" spans="2:13" x14ac:dyDescent="0.25">
      <c r="B15" s="24"/>
      <c r="C15" s="25"/>
      <c r="D15" s="25"/>
      <c r="E15" s="25"/>
      <c r="F15" s="26"/>
      <c r="I15" s="24"/>
      <c r="J15" s="25"/>
      <c r="K15" s="25"/>
      <c r="L15" s="25"/>
      <c r="M15" s="26"/>
    </row>
    <row r="16" spans="2:13" x14ac:dyDescent="0.25">
      <c r="B16" s="24"/>
      <c r="C16" s="25"/>
      <c r="D16" s="25"/>
      <c r="E16" s="25"/>
      <c r="F16" s="26"/>
      <c r="I16" s="24"/>
      <c r="J16" s="25"/>
      <c r="K16" s="25"/>
      <c r="L16" s="25"/>
      <c r="M16" s="26"/>
    </row>
    <row r="17" spans="2:13" x14ac:dyDescent="0.25">
      <c r="B17" s="24"/>
      <c r="C17" s="25"/>
      <c r="D17" s="25"/>
      <c r="E17" s="25"/>
      <c r="F17" s="26"/>
      <c r="I17" s="24"/>
      <c r="J17" s="25"/>
      <c r="K17" s="25"/>
      <c r="L17" s="25"/>
      <c r="M17" s="26"/>
    </row>
    <row r="18" spans="2:13" x14ac:dyDescent="0.25">
      <c r="B18" s="27"/>
      <c r="C18" s="28"/>
      <c r="D18" s="28"/>
      <c r="E18" s="28"/>
      <c r="F18" s="29"/>
      <c r="I18" s="27"/>
      <c r="J18" s="28"/>
      <c r="K18" s="28"/>
      <c r="L18" s="28"/>
      <c r="M18" s="29"/>
    </row>
  </sheetData>
  <mergeCells count="3">
    <mergeCell ref="D5:K6"/>
    <mergeCell ref="B2:F2"/>
    <mergeCell ref="I2:M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43E5C9-7836-44A8-A8DC-88CDE2F325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NZ staff</vt:lpstr>
      <vt:lpstr>India Staff</vt:lpstr>
      <vt:lpstr>all Staff</vt:lpstr>
      <vt:lpstr>Salary vs Rating</vt:lpstr>
      <vt:lpstr>Salary vs Rating.</vt:lpstr>
      <vt:lpstr>employee trend</vt:lpstr>
      <vt:lpstr>NZ vs India</vt:lpstr>
      <vt:lpstr>salary spread</vt:lpstr>
      <vt:lpstr>male vs female</vt:lpstr>
      <vt:lpstr>info finder</vt:lpstr>
      <vt:lpstr>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Office</cp:lastModifiedBy>
  <dcterms:created xsi:type="dcterms:W3CDTF">2021-03-14T20:21:32Z</dcterms:created>
  <dcterms:modified xsi:type="dcterms:W3CDTF">2024-10-20T02:50:41Z</dcterms:modified>
</cp:coreProperties>
</file>